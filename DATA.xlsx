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pivotTables/pivotTable1.xml" ContentType="application/vnd.openxmlformats-officedocument.spreadsheetml.pivotTable+xml"/>
  <Override PartName="/xl/tables/table2.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comments3.xml" ContentType="application/vnd.openxmlformats-officedocument.spreadsheetml.comments+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slicers/slicer2.xml" ContentType="application/vnd.ms-excel.slicer+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UNAL KUMAR\Downloads\"/>
    </mc:Choice>
  </mc:AlternateContent>
  <xr:revisionPtr revIDLastSave="0" documentId="13_ncr:1_{7C30B63F-2E19-446B-9EF8-C6E5CDBDDFF8}" xr6:coauthVersionLast="47" xr6:coauthVersionMax="47" xr10:uidLastSave="{00000000-0000-0000-0000-000000000000}"/>
  <bookViews>
    <workbookView xWindow="444" yWindow="0" windowWidth="22596" windowHeight="11988" activeTab="3" xr2:uid="{88B6A4E5-DAFB-4592-AA72-2932EC9C643B}"/>
  </bookViews>
  <sheets>
    <sheet name="Project 1" sheetId="2" r:id="rId1"/>
    <sheet name="Project 2" sheetId="1" r:id="rId2"/>
    <sheet name="Sheet2" sheetId="3" r:id="rId3"/>
    <sheet name="Project 3" sheetId="4" r:id="rId4"/>
    <sheet name="For Sheet 3" sheetId="16" r:id="rId5"/>
    <sheet name="Sheet3" sheetId="15" r:id="rId6"/>
    <sheet name="Sheet9" sheetId="17" r:id="rId7"/>
    <sheet name="Sheet5" sheetId="6" r:id="rId8"/>
    <sheet name="Sheet6" sheetId="7" r:id="rId9"/>
    <sheet name="Detail1" sheetId="13" r:id="rId10"/>
    <sheet name="Sheet7" sheetId="8" r:id="rId11"/>
    <sheet name="Detail2" sheetId="14" r:id="rId12"/>
    <sheet name="Sheet4" sheetId="11" r:id="rId13"/>
    <sheet name="Sheet1" sheetId="9" r:id="rId14"/>
    <sheet name="Sheet11" sheetId="20" r:id="rId15"/>
    <sheet name="Sheet10" sheetId="19" r:id="rId16"/>
    <sheet name="Sheet8" sheetId="18" r:id="rId17"/>
  </sheets>
  <definedNames>
    <definedName name="_xlnm._FilterDatabase" localSheetId="1" hidden="1">'Project 2'!$A$4:$J$9</definedName>
    <definedName name="_xlnm._FilterDatabase" localSheetId="3" hidden="1">'Project 3'!$P$4:$Q$8</definedName>
    <definedName name="_xlcn.WorksheetConnection_Table21" hidden="1">Table2[]</definedName>
    <definedName name="Slicer_Gender">#N/A</definedName>
    <definedName name="Slicer_Grade">#N/A</definedName>
    <definedName name="Slicer_House">#N/A</definedName>
    <definedName name="Slicer_House1">#N/A</definedName>
  </definedNames>
  <calcPr calcId="191029"/>
  <pivotCaches>
    <pivotCache cacheId="0" r:id="rId18"/>
    <pivotCache cacheId="1" r:id="rId19"/>
    <pivotCache cacheId="2" r:id="rId2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4:slicerCache r:id="rId23"/>
        <x14:slicerCache r:id="rId24"/>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Table2"/>
        </x15:modelTables>
      </x15:dataModel>
    </ext>
  </extLst>
</workbook>
</file>

<file path=xl/calcChain.xml><?xml version="1.0" encoding="utf-8"?>
<calcChain xmlns="http://schemas.openxmlformats.org/spreadsheetml/2006/main">
  <c r="I6" i="1" l="1"/>
  <c r="I7" i="1"/>
  <c r="I8" i="1"/>
  <c r="I9" i="1"/>
  <c r="I5" i="1"/>
  <c r="H5" i="1"/>
  <c r="N4" i="9"/>
  <c r="N5" i="9"/>
  <c r="N6" i="9"/>
  <c r="M4" i="9"/>
  <c r="M5" i="9"/>
  <c r="M6" i="9"/>
  <c r="M3" i="9"/>
  <c r="N3" i="9"/>
  <c r="B5" i="2"/>
  <c r="D6" i="2"/>
  <c r="D7" i="2"/>
  <c r="D8" i="2"/>
  <c r="D9" i="2"/>
  <c r="D5" i="2"/>
  <c r="C6" i="2"/>
  <c r="C7" i="2"/>
  <c r="C8" i="2"/>
  <c r="C9" i="2"/>
  <c r="C5" i="2"/>
  <c r="B6" i="2"/>
  <c r="B7" i="2"/>
  <c r="B8" i="2"/>
  <c r="B9" i="2"/>
  <c r="J6" i="1"/>
  <c r="J7" i="1"/>
  <c r="J8" i="1"/>
  <c r="J9" i="1"/>
  <c r="J5" i="1"/>
  <c r="H6" i="1"/>
  <c r="H7" i="1"/>
  <c r="H8" i="1"/>
  <c r="H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KUNAL KUMAR</author>
  </authors>
  <commentList>
    <comment ref="I15" authorId="0" shapeId="0" xr:uid="{770FAF51-DC42-4BDE-BEA2-1E29D36D9C81}">
      <text>
        <r>
          <rPr>
            <b/>
            <sz val="9"/>
            <color indexed="81"/>
            <rFont val="Tahoma"/>
            <family val="2"/>
          </rPr>
          <t>KUNAL KUMAR: ID INACTIVE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KUNAL KUMAR</author>
  </authors>
  <commentList>
    <comment ref="I3" authorId="0" shapeId="0" xr:uid="{4F831880-A741-451B-AEDA-B4A6EF14DC90}">
      <text>
        <r>
          <rPr>
            <b/>
            <sz val="9"/>
            <color indexed="81"/>
            <rFont val="Tahoma"/>
            <charset val="1"/>
          </rPr>
          <t xml:space="preserve">KUNAL KUMAR: ID INACTIVE!
</t>
        </r>
        <r>
          <rPr>
            <sz val="9"/>
            <color indexed="81"/>
            <rFont val="Tahoma"/>
            <charset val="1"/>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KUNAL KUMAR</author>
  </authors>
  <commentList>
    <comment ref="A13" authorId="0" shapeId="0" xr:uid="{F9DE9CE8-90BC-4AB3-B8B3-1826A0D9A7FC}">
      <text>
        <r>
          <rPr>
            <b/>
            <sz val="9"/>
            <color indexed="81"/>
            <rFont val="Tahoma"/>
            <family val="2"/>
          </rPr>
          <t>KUNAL KUMAR: ID INACTIVE</t>
        </r>
        <r>
          <rPr>
            <sz val="9"/>
            <color indexed="81"/>
            <rFont val="Tahoma"/>
            <family val="2"/>
          </rPr>
          <t xml:space="preserve">
</t>
        </r>
      </text>
    </comment>
    <comment ref="B13" authorId="0" shapeId="0" xr:uid="{4EE10853-9664-48B3-8297-210697C28E13}">
      <text>
        <r>
          <rPr>
            <b/>
            <sz val="9"/>
            <color indexed="81"/>
            <rFont val="Tahoma"/>
            <family val="2"/>
          </rPr>
          <t>KUNAL KUMAR: ID INACTIVE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KUNAL KUMAR</author>
  </authors>
  <commentList>
    <comment ref="I6" authorId="0" shapeId="0" xr:uid="{BFCA1314-75FC-41E5-80FF-F771D95CC5A7}">
      <text>
        <r>
          <rPr>
            <b/>
            <sz val="9"/>
            <color indexed="81"/>
            <rFont val="Tahoma"/>
            <family val="2"/>
          </rPr>
          <t xml:space="preserve">KUNAL KUMAR: INACTIVE EMAIL </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A2F1AA-781C-4FCD-83A4-E92F32D1C5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B4F3A49-B724-40AD-AE50-04942566A264}" name="WorksheetConnection_Table2" type="102" refreshedVersion="8" minRefreshableVersion="5">
    <extLst>
      <ext xmlns:x15="http://schemas.microsoft.com/office/spreadsheetml/2010/11/main" uri="{DE250136-89BD-433C-8126-D09CA5730AF9}">
        <x15:connection id="Table2">
          <x15:rangePr sourceName="_xlcn.WorksheetConnection_Table21"/>
        </x15:connection>
      </ext>
    </extLst>
  </connection>
</connections>
</file>

<file path=xl/sharedStrings.xml><?xml version="1.0" encoding="utf-8"?>
<sst xmlns="http://schemas.openxmlformats.org/spreadsheetml/2006/main" count="529" uniqueCount="183">
  <si>
    <t>S No</t>
  </si>
  <si>
    <t>First Name</t>
  </si>
  <si>
    <t>Last Name</t>
  </si>
  <si>
    <t>DOJ</t>
  </si>
  <si>
    <t>Sal-Jan</t>
  </si>
  <si>
    <t>Sal-Feb</t>
  </si>
  <si>
    <t>Sal-Mar</t>
  </si>
  <si>
    <t>Sal Total</t>
  </si>
  <si>
    <t>Avg Sal</t>
  </si>
  <si>
    <t>Full Name</t>
  </si>
  <si>
    <t>Raj</t>
  </si>
  <si>
    <t>Kapoor</t>
  </si>
  <si>
    <t>Kunal</t>
  </si>
  <si>
    <t>Kumar</t>
  </si>
  <si>
    <t>Daniel</t>
  </si>
  <si>
    <t>Bryan</t>
  </si>
  <si>
    <t>John</t>
  </si>
  <si>
    <t>Batley</t>
  </si>
  <si>
    <t>Peter</t>
  </si>
  <si>
    <t>Griffin</t>
  </si>
  <si>
    <t>Employee Salary Description</t>
  </si>
  <si>
    <t>Numbers</t>
  </si>
  <si>
    <t>Round</t>
  </si>
  <si>
    <t>Round Up</t>
  </si>
  <si>
    <t>Round Down</t>
  </si>
  <si>
    <t>NUMBER ROUND OFF</t>
  </si>
  <si>
    <t>Date</t>
  </si>
  <si>
    <t>Month</t>
  </si>
  <si>
    <t>Year</t>
  </si>
  <si>
    <t>Jan</t>
  </si>
  <si>
    <t>Feb</t>
  </si>
  <si>
    <t>Mar</t>
  </si>
  <si>
    <t>Apr</t>
  </si>
  <si>
    <t>May</t>
  </si>
  <si>
    <t>Jun</t>
  </si>
  <si>
    <t>Jul</t>
  </si>
  <si>
    <t>Aug</t>
  </si>
  <si>
    <t>Sep</t>
  </si>
  <si>
    <t>Oct</t>
  </si>
  <si>
    <t>Nov</t>
  </si>
  <si>
    <t>Dec</t>
  </si>
  <si>
    <t>Day</t>
  </si>
  <si>
    <t>Mon</t>
  </si>
  <si>
    <t>Tue</t>
  </si>
  <si>
    <t>Wed</t>
  </si>
  <si>
    <t>Thu</t>
  </si>
  <si>
    <t>Fri</t>
  </si>
  <si>
    <t>Sat</t>
  </si>
  <si>
    <t>Sun</t>
  </si>
  <si>
    <t>SAMPLE TABLE</t>
  </si>
  <si>
    <t>Name</t>
  </si>
  <si>
    <t>Gender</t>
  </si>
  <si>
    <t>Age</t>
  </si>
  <si>
    <t>Class</t>
  </si>
  <si>
    <t>Unit Test 1</t>
  </si>
  <si>
    <t>Unit Test 2</t>
  </si>
  <si>
    <t>Final Test</t>
  </si>
  <si>
    <t>email</t>
  </si>
  <si>
    <t>House</t>
  </si>
  <si>
    <t>Aditya</t>
  </si>
  <si>
    <t>Arjun</t>
  </si>
  <si>
    <t>Bishnu</t>
  </si>
  <si>
    <t>Deva</t>
  </si>
  <si>
    <t>Gopal</t>
  </si>
  <si>
    <t>Harish</t>
  </si>
  <si>
    <t>Ishan</t>
  </si>
  <si>
    <t>Junaid</t>
  </si>
  <si>
    <t>Keshav</t>
  </si>
  <si>
    <t>Manoj</t>
  </si>
  <si>
    <t>Neha</t>
  </si>
  <si>
    <t>Priti</t>
  </si>
  <si>
    <t>Rishika</t>
  </si>
  <si>
    <t>Sourav</t>
  </si>
  <si>
    <t>Shruti</t>
  </si>
  <si>
    <t>Tanmay</t>
  </si>
  <si>
    <t>Trisha</t>
  </si>
  <si>
    <t>Vinita</t>
  </si>
  <si>
    <t>M</t>
  </si>
  <si>
    <t>F</t>
  </si>
  <si>
    <t>A</t>
  </si>
  <si>
    <t>B</t>
  </si>
  <si>
    <t>D</t>
  </si>
  <si>
    <t>C</t>
  </si>
  <si>
    <t>adi@xyz.com</t>
  </si>
  <si>
    <t>arjun@xyz.com</t>
  </si>
  <si>
    <t>bishnu@mail. Com</t>
  </si>
  <si>
    <t>Deva@mail.com</t>
  </si>
  <si>
    <t>gopal@xyz.com</t>
  </si>
  <si>
    <t>harish@mail.com</t>
  </si>
  <si>
    <t>ishan@mail.com</t>
  </si>
  <si>
    <t>kes@xyz.com</t>
  </si>
  <si>
    <t>Jun@xyz.com</t>
  </si>
  <si>
    <t>man@abc.com</t>
  </si>
  <si>
    <t>neha@mail.com</t>
  </si>
  <si>
    <t>priti@xyz.com</t>
  </si>
  <si>
    <t>ris@xyz.com</t>
  </si>
  <si>
    <t>sourav@xyz.com</t>
  </si>
  <si>
    <t>shr@xyz.com</t>
  </si>
  <si>
    <t>tan@mail.com</t>
  </si>
  <si>
    <t>tris@mail.com</t>
  </si>
  <si>
    <t>vinita@mail.com</t>
  </si>
  <si>
    <t>CLASS REPORT</t>
  </si>
  <si>
    <t>Grade</t>
  </si>
  <si>
    <t>Madhav</t>
  </si>
  <si>
    <t>Vrinda</t>
  </si>
  <si>
    <t>Indu</t>
  </si>
  <si>
    <t>harish</t>
  </si>
  <si>
    <t>kes</t>
  </si>
  <si>
    <t>sourav</t>
  </si>
  <si>
    <t>arjun</t>
  </si>
  <si>
    <t>tris</t>
  </si>
  <si>
    <t>neha</t>
  </si>
  <si>
    <t>ris</t>
  </si>
  <si>
    <t>adi</t>
  </si>
  <si>
    <t>vinita</t>
  </si>
  <si>
    <t>ishan</t>
  </si>
  <si>
    <t>priti</t>
  </si>
  <si>
    <t>bishnu</t>
  </si>
  <si>
    <t>shr</t>
  </si>
  <si>
    <t>man</t>
  </si>
  <si>
    <t>gopal</t>
  </si>
  <si>
    <t>tan</t>
  </si>
  <si>
    <t>Grand Total</t>
  </si>
  <si>
    <t>Sum of Final Test</t>
  </si>
  <si>
    <t>Details for Sum of Final Test - Gender: M, House: A</t>
  </si>
  <si>
    <t>Sl No.</t>
  </si>
  <si>
    <t xml:space="preserve"> Last Name</t>
  </si>
  <si>
    <t>Unit test 1</t>
  </si>
  <si>
    <t>Unit test 2</t>
  </si>
  <si>
    <t>Final Result</t>
  </si>
  <si>
    <t>Email</t>
  </si>
  <si>
    <t>Abhinav</t>
  </si>
  <si>
    <t>Rajiv</t>
  </si>
  <si>
    <t>Singh</t>
  </si>
  <si>
    <t>Suraj</t>
  </si>
  <si>
    <t>Sinha</t>
  </si>
  <si>
    <t>Ritika</t>
  </si>
  <si>
    <t>Sharma</t>
  </si>
  <si>
    <t>Apoorva</t>
  </si>
  <si>
    <t>Joshi</t>
  </si>
  <si>
    <t>Binay</t>
  </si>
  <si>
    <t>Teesta</t>
  </si>
  <si>
    <t>Roy</t>
  </si>
  <si>
    <t>Vijay</t>
  </si>
  <si>
    <t>Aditi</t>
  </si>
  <si>
    <t>abhui@xyz.com</t>
  </si>
  <si>
    <t>raj@xyz.com</t>
  </si>
  <si>
    <t>vij@xyz.com</t>
  </si>
  <si>
    <t>sur@mail.com</t>
  </si>
  <si>
    <t>apr@xyz.com</t>
  </si>
  <si>
    <t>bin@mail.com</t>
  </si>
  <si>
    <t>tess@xyz.com</t>
  </si>
  <si>
    <t>kun@mail.com</t>
  </si>
  <si>
    <t>rik@xyz.com</t>
  </si>
  <si>
    <t>Row Labels</t>
  </si>
  <si>
    <t>Sum of Unit test 1</t>
  </si>
  <si>
    <t>GRADE SHEET</t>
  </si>
  <si>
    <t xml:space="preserve"> Sl. No</t>
  </si>
  <si>
    <t>Minal</t>
  </si>
  <si>
    <t>Dheer</t>
  </si>
  <si>
    <t>Riya</t>
  </si>
  <si>
    <t>Nihar</t>
  </si>
  <si>
    <t>Ranjan</t>
  </si>
  <si>
    <t>Animone</t>
  </si>
  <si>
    <t>Lotus</t>
  </si>
  <si>
    <t>Jasmine</t>
  </si>
  <si>
    <t>Marigold</t>
  </si>
  <si>
    <t>O</t>
  </si>
  <si>
    <t>kunal@xyz.com</t>
  </si>
  <si>
    <t>dheer@xyz.com</t>
  </si>
  <si>
    <t>aditi@mail.com</t>
  </si>
  <si>
    <t>abhi@xyz.com</t>
  </si>
  <si>
    <t>minal@mail.com</t>
  </si>
  <si>
    <t>arjun@mail.com</t>
  </si>
  <si>
    <t>riya@mail.com</t>
  </si>
  <si>
    <t>aditya@mail.com</t>
  </si>
  <si>
    <t>nihar@xyz.com</t>
  </si>
  <si>
    <t xml:space="preserve">  </t>
  </si>
  <si>
    <t>Sum of Final Result</t>
  </si>
  <si>
    <t>Fruits</t>
  </si>
  <si>
    <t>Apple</t>
  </si>
  <si>
    <t>Banana</t>
  </si>
  <si>
    <t>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</si>
</sst>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F800]dddd\,\ mmmm\ dd\,\ yyyy"/>
    <numFmt numFmtId="165" formatCode="0.0000"/>
    <numFmt numFmtId="166" formatCode="0.00000"/>
    <numFmt numFmtId="167" formatCode="#,##0.00000_ ;\-#,##0.00000\ "/>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1"/>
      <color theme="0"/>
      <name val="Calibri"/>
      <family val="2"/>
      <scheme val="minor"/>
    </font>
    <font>
      <sz val="8"/>
      <name val="Calibri"/>
      <family val="2"/>
      <scheme val="minor"/>
    </font>
    <font>
      <b/>
      <sz val="14"/>
      <color theme="0"/>
      <name val="Calibri"/>
      <family val="2"/>
      <scheme val="minor"/>
    </font>
    <font>
      <u/>
      <sz val="11"/>
      <color theme="10"/>
      <name val="Calibri"/>
      <family val="2"/>
      <scheme val="minor"/>
    </font>
    <font>
      <sz val="9"/>
      <color indexed="81"/>
      <name val="Tahoma"/>
      <family val="2"/>
    </font>
    <font>
      <b/>
      <sz val="9"/>
      <color indexed="81"/>
      <name val="Tahoma"/>
      <family val="2"/>
    </font>
    <font>
      <b/>
      <u/>
      <sz val="11"/>
      <color theme="10"/>
      <name val="Calibri"/>
      <family val="2"/>
      <scheme val="minor"/>
    </font>
    <font>
      <sz val="9"/>
      <color indexed="81"/>
      <name val="Tahoma"/>
      <charset val="1"/>
    </font>
    <font>
      <b/>
      <sz val="9"/>
      <color indexed="81"/>
      <name val="Tahoma"/>
      <charset val="1"/>
    </font>
    <font>
      <sz val="16"/>
      <color theme="1"/>
      <name val="Calibri"/>
      <family val="2"/>
      <scheme val="minor"/>
    </font>
  </fonts>
  <fills count="18">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2"/>
        <bgColor indexed="64"/>
      </patternFill>
    </fill>
    <fill>
      <patternFill patternType="solid">
        <fgColor theme="7" tint="0.59999389629810485"/>
        <bgColor indexed="64"/>
      </patternFill>
    </fill>
    <fill>
      <patternFill patternType="solid">
        <fgColor theme="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bgColor indexed="64"/>
      </patternFill>
    </fill>
    <fill>
      <patternFill patternType="solid">
        <fgColor theme="7"/>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8" tint="0.79998168889431442"/>
        <bgColor theme="8" tint="0.79998168889431442"/>
      </patternFill>
    </fill>
    <fill>
      <patternFill patternType="solid">
        <fgColor theme="8"/>
        <bgColor theme="8"/>
      </patternFill>
    </fill>
    <fill>
      <patternFill patternType="solid">
        <fgColor rgb="FFFFFF0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75">
    <xf numFmtId="0" fontId="0" fillId="0" borderId="0" xfId="0"/>
    <xf numFmtId="0" fontId="0" fillId="0" borderId="2" xfId="0" applyBorder="1" applyAlignment="1">
      <alignment horizontal="center"/>
    </xf>
    <xf numFmtId="164" fontId="0" fillId="0" borderId="2" xfId="0" applyNumberFormat="1" applyBorder="1" applyAlignment="1">
      <alignment horizontal="center"/>
    </xf>
    <xf numFmtId="0" fontId="0" fillId="0" borderId="2" xfId="0" applyBorder="1"/>
    <xf numFmtId="1" fontId="0" fillId="0" borderId="2" xfId="0" applyNumberFormat="1" applyBorder="1"/>
    <xf numFmtId="0" fontId="0" fillId="0" borderId="2" xfId="0" applyBorder="1" applyAlignment="1">
      <alignment horizontal="left"/>
    </xf>
    <xf numFmtId="0" fontId="2" fillId="3" borderId="3" xfId="0" applyFont="1" applyFill="1" applyBorder="1"/>
    <xf numFmtId="0" fontId="2" fillId="3" borderId="3" xfId="0" applyFont="1" applyFill="1" applyBorder="1" applyAlignment="1">
      <alignment horizontal="center"/>
    </xf>
    <xf numFmtId="0" fontId="0" fillId="0" borderId="0" xfId="0" applyAlignment="1">
      <alignment wrapText="1"/>
    </xf>
    <xf numFmtId="0" fontId="0" fillId="0" borderId="0" xfId="0" applyAlignment="1">
      <alignment horizontal="left" wrapText="1"/>
    </xf>
    <xf numFmtId="9" fontId="0" fillId="0" borderId="0" xfId="2" applyFont="1" applyFill="1" applyBorder="1" applyAlignment="1">
      <alignment horizontal="center"/>
    </xf>
    <xf numFmtId="2" fontId="0" fillId="0" borderId="2" xfId="0" applyNumberFormat="1" applyBorder="1" applyAlignment="1">
      <alignment horizontal="center"/>
    </xf>
    <xf numFmtId="167" fontId="0" fillId="0" borderId="2" xfId="1" applyNumberFormat="1" applyFont="1" applyBorder="1" applyAlignment="1">
      <alignment horizontal="center"/>
    </xf>
    <xf numFmtId="166" fontId="0" fillId="0" borderId="2" xfId="0" applyNumberFormat="1" applyBorder="1" applyAlignment="1">
      <alignment horizontal="center"/>
    </xf>
    <xf numFmtId="165" fontId="0" fillId="0" borderId="2" xfId="0" applyNumberFormat="1" applyBorder="1"/>
    <xf numFmtId="0" fontId="0" fillId="2" borderId="2" xfId="0" applyFill="1" applyBorder="1"/>
    <xf numFmtId="0" fontId="0" fillId="6" borderId="2" xfId="0" applyFill="1" applyBorder="1"/>
    <xf numFmtId="0" fontId="2" fillId="7" borderId="2" xfId="0" applyFont="1" applyFill="1" applyBorder="1" applyAlignment="1">
      <alignment horizontal="center"/>
    </xf>
    <xf numFmtId="0" fontId="2" fillId="6" borderId="2" xfId="0" applyFont="1" applyFill="1" applyBorder="1" applyAlignment="1">
      <alignment horizontal="center"/>
    </xf>
    <xf numFmtId="0" fontId="2" fillId="8" borderId="2" xfId="0" applyFont="1" applyFill="1" applyBorder="1" applyAlignment="1">
      <alignment horizontal="center"/>
    </xf>
    <xf numFmtId="0" fontId="2" fillId="9" borderId="2" xfId="0" applyFont="1" applyFill="1" applyBorder="1" applyAlignment="1">
      <alignment horizontal="center"/>
    </xf>
    <xf numFmtId="0" fontId="0" fillId="0" borderId="0" xfId="0" applyAlignment="1">
      <alignment horizontal="center"/>
    </xf>
    <xf numFmtId="0" fontId="4" fillId="0" borderId="0" xfId="0" applyFont="1"/>
    <xf numFmtId="0" fontId="4" fillId="8" borderId="0" xfId="0" applyFont="1" applyFill="1" applyAlignment="1">
      <alignment horizontal="left" vertical="center" indent="7"/>
    </xf>
    <xf numFmtId="0" fontId="7" fillId="8" borderId="0" xfId="0" applyFont="1" applyFill="1" applyAlignment="1">
      <alignment horizontal="left" vertical="center" indent="7"/>
    </xf>
    <xf numFmtId="0" fontId="2" fillId="10" borderId="3" xfId="0" applyFont="1" applyFill="1" applyBorder="1" applyAlignment="1">
      <alignment horizontal="center"/>
    </xf>
    <xf numFmtId="0" fontId="2" fillId="10" borderId="15" xfId="0" applyFont="1" applyFill="1" applyBorder="1" applyAlignment="1">
      <alignment horizontal="center"/>
    </xf>
    <xf numFmtId="0" fontId="0" fillId="11" borderId="12" xfId="0" applyFill="1" applyBorder="1" applyAlignment="1">
      <alignment horizontal="center"/>
    </xf>
    <xf numFmtId="0" fontId="0" fillId="11" borderId="2" xfId="0" applyFill="1" applyBorder="1" applyAlignment="1">
      <alignment horizontal="center"/>
    </xf>
    <xf numFmtId="0" fontId="8" fillId="11" borderId="13" xfId="3" applyFill="1" applyBorder="1" applyAlignment="1">
      <alignment horizontal="center"/>
    </xf>
    <xf numFmtId="0" fontId="0" fillId="11" borderId="16" xfId="0" applyFill="1" applyBorder="1" applyAlignment="1">
      <alignment horizontal="center"/>
    </xf>
    <xf numFmtId="0" fontId="0" fillId="11" borderId="17" xfId="0" applyFill="1" applyBorder="1" applyAlignment="1">
      <alignment horizontal="center"/>
    </xf>
    <xf numFmtId="0" fontId="8" fillId="11" borderId="18" xfId="3" applyFill="1" applyBorder="1" applyAlignment="1">
      <alignment horizontal="center"/>
    </xf>
    <xf numFmtId="0" fontId="0" fillId="4" borderId="0" xfId="0" applyFill="1"/>
    <xf numFmtId="0" fontId="4" fillId="4" borderId="0" xfId="0" applyFont="1" applyFill="1" applyAlignment="1">
      <alignment horizontal="left" indent="20"/>
    </xf>
    <xf numFmtId="0" fontId="0" fillId="4" borderId="0" xfId="0" applyFill="1" applyAlignment="1">
      <alignment horizontal="left" indent="20"/>
    </xf>
    <xf numFmtId="0" fontId="5" fillId="10" borderId="2" xfId="0" applyFont="1" applyFill="1" applyBorder="1" applyAlignment="1">
      <alignment horizontal="center"/>
    </xf>
    <xf numFmtId="0" fontId="8" fillId="10" borderId="14" xfId="3" applyFill="1" applyBorder="1" applyAlignment="1">
      <alignment horizontal="center"/>
    </xf>
    <xf numFmtId="0" fontId="2" fillId="0" borderId="2" xfId="0" applyFont="1" applyBorder="1" applyAlignment="1">
      <alignment horizontal="center"/>
    </xf>
    <xf numFmtId="0" fontId="8" fillId="11" borderId="2" xfId="3" applyFill="1" applyBorder="1" applyAlignment="1">
      <alignment horizontal="center"/>
    </xf>
    <xf numFmtId="0" fontId="11" fillId="10" borderId="2" xfId="3" applyFont="1" applyFill="1" applyBorder="1" applyAlignment="1">
      <alignment horizontal="center"/>
    </xf>
    <xf numFmtId="0" fontId="2" fillId="4" borderId="2" xfId="0" applyFont="1" applyFill="1" applyBorder="1"/>
    <xf numFmtId="0" fontId="2" fillId="12" borderId="2" xfId="0" applyFont="1" applyFill="1" applyBorder="1" applyAlignment="1">
      <alignment horizontal="center"/>
    </xf>
    <xf numFmtId="0" fontId="2" fillId="12" borderId="2" xfId="0" applyFont="1" applyFill="1" applyBorder="1"/>
    <xf numFmtId="0" fontId="0" fillId="0" borderId="0" xfId="0" pivotButton="1"/>
    <xf numFmtId="0" fontId="2" fillId="0" borderId="0" xfId="0" applyFont="1"/>
    <xf numFmtId="0" fontId="0" fillId="0" borderId="12" xfId="0" applyBorder="1" applyAlignment="1">
      <alignment horizontal="center"/>
    </xf>
    <xf numFmtId="0" fontId="0" fillId="0" borderId="14" xfId="0"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8" fillId="0" borderId="13" xfId="3" applyBorder="1" applyAlignment="1">
      <alignment horizontal="center"/>
    </xf>
    <xf numFmtId="0" fontId="8" fillId="0" borderId="18" xfId="3" applyBorder="1" applyAlignment="1">
      <alignment horizontal="center"/>
    </xf>
    <xf numFmtId="0" fontId="0" fillId="0" borderId="0" xfId="0" applyAlignment="1">
      <alignment horizontal="left"/>
    </xf>
    <xf numFmtId="0" fontId="0" fillId="0" borderId="0" xfId="0" applyAlignment="1">
      <alignment horizontal="left" indent="1"/>
    </xf>
    <xf numFmtId="0" fontId="5" fillId="13" borderId="2" xfId="0" applyFont="1" applyFill="1" applyBorder="1" applyAlignment="1">
      <alignment horizontal="center"/>
    </xf>
    <xf numFmtId="0" fontId="0" fillId="14" borderId="2" xfId="0" applyFill="1" applyBorder="1" applyAlignment="1">
      <alignment horizontal="center"/>
    </xf>
    <xf numFmtId="0" fontId="0" fillId="17" borderId="0" xfId="0" applyFill="1" applyAlignment="1">
      <alignment vertical="center"/>
    </xf>
    <xf numFmtId="0" fontId="14" fillId="17" borderId="0" xfId="0" applyFont="1" applyFill="1" applyAlignment="1">
      <alignment vertical="center"/>
    </xf>
    <xf numFmtId="0" fontId="3" fillId="17" borderId="0" xfId="0" applyFont="1" applyFill="1" applyAlignment="1">
      <alignment vertical="center"/>
    </xf>
    <xf numFmtId="0" fontId="5" fillId="16" borderId="2" xfId="0" applyFont="1" applyFill="1" applyBorder="1" applyAlignment="1">
      <alignment horizontal="center"/>
    </xf>
    <xf numFmtId="0" fontId="0" fillId="15" borderId="2" xfId="0" applyFill="1" applyBorder="1" applyAlignment="1">
      <alignment horizontal="center"/>
    </xf>
    <xf numFmtId="0" fontId="3" fillId="5" borderId="0" xfId="0" applyFont="1" applyFill="1" applyAlignment="1">
      <alignment horizontal="center"/>
    </xf>
    <xf numFmtId="0" fontId="0" fillId="5" borderId="0" xfId="0" applyFill="1" applyAlignment="1">
      <alignment horizontal="center"/>
    </xf>
    <xf numFmtId="0" fontId="0" fillId="5" borderId="1" xfId="0" applyFill="1" applyBorder="1" applyAlignment="1">
      <alignment horizont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0" xfId="0" applyFont="1" applyFill="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1" xfId="0" applyFont="1" applyFill="1" applyBorder="1" applyAlignment="1">
      <alignment horizontal="center" vertical="center"/>
    </xf>
  </cellXfs>
  <cellStyles count="4">
    <cellStyle name="Currency" xfId="1" builtinId="4"/>
    <cellStyle name="Hyperlink" xfId="3" builtinId="8"/>
    <cellStyle name="Normal" xfId="0" builtinId="0"/>
    <cellStyle name="Percent" xfId="2" builtinId="5"/>
  </cellStyles>
  <dxfs count="45">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439582961449718"/>
          <c:y val="0.13540084388185655"/>
          <c:w val="0.87251432991530975"/>
          <c:h val="0.65614638360078403"/>
        </c:manualLayout>
      </c:layout>
      <c:barChart>
        <c:barDir val="col"/>
        <c:grouping val="clustered"/>
        <c:varyColors val="0"/>
        <c:ser>
          <c:idx val="0"/>
          <c:order val="0"/>
          <c:tx>
            <c:strRef>
              <c:f>Sheet9!$D$3</c:f>
              <c:strCache>
                <c:ptCount val="1"/>
                <c:pt idx="0">
                  <c:v>Final Result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Sheet9!$C$4:$C$13</c:f>
              <c:strCache>
                <c:ptCount val="10"/>
                <c:pt idx="0">
                  <c:v>Abhinav</c:v>
                </c:pt>
                <c:pt idx="1">
                  <c:v>Rajiv</c:v>
                </c:pt>
                <c:pt idx="2">
                  <c:v>Suraj</c:v>
                </c:pt>
                <c:pt idx="3">
                  <c:v>Ritika</c:v>
                </c:pt>
                <c:pt idx="4">
                  <c:v>Apoorva</c:v>
                </c:pt>
                <c:pt idx="5">
                  <c:v>Binay</c:v>
                </c:pt>
                <c:pt idx="6">
                  <c:v>Teesta</c:v>
                </c:pt>
                <c:pt idx="7">
                  <c:v>Vijay</c:v>
                </c:pt>
                <c:pt idx="8">
                  <c:v>Kunal</c:v>
                </c:pt>
                <c:pt idx="9">
                  <c:v>Aditi</c:v>
                </c:pt>
              </c:strCache>
            </c:strRef>
          </c:cat>
          <c:val>
            <c:numRef>
              <c:f>Sheet9!$D$4:$D$13</c:f>
              <c:numCache>
                <c:formatCode>General</c:formatCode>
                <c:ptCount val="10"/>
                <c:pt idx="0">
                  <c:v>97</c:v>
                </c:pt>
                <c:pt idx="1">
                  <c:v>90</c:v>
                </c:pt>
                <c:pt idx="2">
                  <c:v>89</c:v>
                </c:pt>
                <c:pt idx="3">
                  <c:v>96</c:v>
                </c:pt>
                <c:pt idx="4">
                  <c:v>90</c:v>
                </c:pt>
                <c:pt idx="5">
                  <c:v>85</c:v>
                </c:pt>
                <c:pt idx="6">
                  <c:v>81</c:v>
                </c:pt>
                <c:pt idx="7">
                  <c:v>80</c:v>
                </c:pt>
                <c:pt idx="8">
                  <c:v>92</c:v>
                </c:pt>
                <c:pt idx="9">
                  <c:v>95</c:v>
                </c:pt>
              </c:numCache>
            </c:numRef>
          </c:val>
          <c:extLst>
            <c:ext xmlns:c16="http://schemas.microsoft.com/office/drawing/2014/chart" uri="{C3380CC4-5D6E-409C-BE32-E72D297353CC}">
              <c16:uniqueId val="{00000000-F660-49C3-8E83-59920BFBB505}"/>
            </c:ext>
          </c:extLst>
        </c:ser>
        <c:dLbls>
          <c:dLblPos val="outEnd"/>
          <c:showLegendKey val="0"/>
          <c:showVal val="1"/>
          <c:showCatName val="0"/>
          <c:showSerName val="0"/>
          <c:showPercent val="0"/>
          <c:showBubbleSize val="0"/>
        </c:dLbls>
        <c:gapWidth val="219"/>
        <c:overlap val="-27"/>
        <c:axId val="656134047"/>
        <c:axId val="656136447"/>
      </c:barChart>
      <c:catAx>
        <c:axId val="656134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Student</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36447"/>
        <c:crosses val="autoZero"/>
        <c:auto val="1"/>
        <c:lblAlgn val="ctr"/>
        <c:lblOffset val="100"/>
        <c:noMultiLvlLbl val="0"/>
      </c:catAx>
      <c:valAx>
        <c:axId val="656136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Max</a:t>
                </a:r>
                <a:r>
                  <a:rPr lang="en-IN" baseline="0"/>
                  <a:t> Marks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3404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Sheet7!$B$2</c:f>
              <c:strCache>
                <c:ptCount val="1"/>
                <c:pt idx="0">
                  <c:v>Final Test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Sheet7!$A$3:$A$20</c:f>
              <c:strCache>
                <c:ptCount val="18"/>
                <c:pt idx="0">
                  <c:v>Harish</c:v>
                </c:pt>
                <c:pt idx="1">
                  <c:v>Keshav</c:v>
                </c:pt>
                <c:pt idx="2">
                  <c:v>Sourav</c:v>
                </c:pt>
                <c:pt idx="3">
                  <c:v>Arjun</c:v>
                </c:pt>
                <c:pt idx="4">
                  <c:v>Trisha</c:v>
                </c:pt>
                <c:pt idx="5">
                  <c:v>Neha</c:v>
                </c:pt>
                <c:pt idx="6">
                  <c:v>Rishika</c:v>
                </c:pt>
                <c:pt idx="7">
                  <c:v>Aditya</c:v>
                </c:pt>
                <c:pt idx="8">
                  <c:v>Deva</c:v>
                </c:pt>
                <c:pt idx="9">
                  <c:v>Vinita</c:v>
                </c:pt>
                <c:pt idx="10">
                  <c:v>Junaid</c:v>
                </c:pt>
                <c:pt idx="11">
                  <c:v>Ishan</c:v>
                </c:pt>
                <c:pt idx="12">
                  <c:v>Priti</c:v>
                </c:pt>
                <c:pt idx="13">
                  <c:v>Bishnu</c:v>
                </c:pt>
                <c:pt idx="14">
                  <c:v>Shruti</c:v>
                </c:pt>
                <c:pt idx="15">
                  <c:v>Manoj</c:v>
                </c:pt>
                <c:pt idx="16">
                  <c:v>Gopal</c:v>
                </c:pt>
                <c:pt idx="17">
                  <c:v>Tanmay</c:v>
                </c:pt>
              </c:strCache>
            </c:strRef>
          </c:cat>
          <c:val>
            <c:numRef>
              <c:f>Sheet7!$B$3:$B$20</c:f>
              <c:numCache>
                <c:formatCode>General</c:formatCode>
                <c:ptCount val="18"/>
                <c:pt idx="0">
                  <c:v>97</c:v>
                </c:pt>
                <c:pt idx="1">
                  <c:v>94</c:v>
                </c:pt>
                <c:pt idx="2">
                  <c:v>86</c:v>
                </c:pt>
                <c:pt idx="3">
                  <c:v>86</c:v>
                </c:pt>
                <c:pt idx="4">
                  <c:v>81</c:v>
                </c:pt>
                <c:pt idx="5">
                  <c:v>96</c:v>
                </c:pt>
                <c:pt idx="6">
                  <c:v>95</c:v>
                </c:pt>
                <c:pt idx="7">
                  <c:v>95</c:v>
                </c:pt>
                <c:pt idx="8">
                  <c:v>90</c:v>
                </c:pt>
                <c:pt idx="9">
                  <c:v>83</c:v>
                </c:pt>
                <c:pt idx="10">
                  <c:v>82</c:v>
                </c:pt>
                <c:pt idx="11">
                  <c:v>84</c:v>
                </c:pt>
                <c:pt idx="12">
                  <c:v>83</c:v>
                </c:pt>
                <c:pt idx="13">
                  <c:v>80</c:v>
                </c:pt>
                <c:pt idx="14">
                  <c:v>77</c:v>
                </c:pt>
                <c:pt idx="15">
                  <c:v>85</c:v>
                </c:pt>
                <c:pt idx="16">
                  <c:v>83</c:v>
                </c:pt>
                <c:pt idx="17">
                  <c:v>79</c:v>
                </c:pt>
              </c:numCache>
            </c:numRef>
          </c:val>
          <c:extLst>
            <c:ext xmlns:c16="http://schemas.microsoft.com/office/drawing/2014/chart" uri="{C3380CC4-5D6E-409C-BE32-E72D297353CC}">
              <c16:uniqueId val="{00000000-14BB-487D-BF5C-92E6450150D9}"/>
            </c:ext>
          </c:extLst>
        </c:ser>
        <c:dLbls>
          <c:dLblPos val="outEnd"/>
          <c:showLegendKey val="0"/>
          <c:showVal val="1"/>
          <c:showCatName val="0"/>
          <c:showSerName val="0"/>
          <c:showPercent val="0"/>
          <c:showBubbleSize val="0"/>
        </c:dLbls>
        <c:gapWidth val="219"/>
        <c:overlap val="-27"/>
        <c:axId val="2044979296"/>
        <c:axId val="2044982656"/>
      </c:barChart>
      <c:catAx>
        <c:axId val="2044979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STUDENT'S</a:t>
                </a:r>
                <a:r>
                  <a:rPr lang="en-US" baseline="0"/>
                  <a:t> NAME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982656"/>
        <c:crosses val="autoZero"/>
        <c:auto val="1"/>
        <c:lblAlgn val="ctr"/>
        <c:lblOffset val="100"/>
        <c:noMultiLvlLbl val="0"/>
      </c:catAx>
      <c:valAx>
        <c:axId val="2044982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Maximum Marks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979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35397622710956"/>
          <c:y val="9.3009259259259264E-2"/>
          <c:w val="0.89019685039370078"/>
          <c:h val="0.72088764946048411"/>
        </c:manualLayout>
      </c:layout>
      <c:barChart>
        <c:barDir val="col"/>
        <c:grouping val="clustered"/>
        <c:varyColors val="0"/>
        <c:ser>
          <c:idx val="0"/>
          <c:order val="0"/>
          <c:tx>
            <c:strRef>
              <c:f>Sheet10!$E$3</c:f>
              <c:strCache>
                <c:ptCount val="1"/>
                <c:pt idx="0">
                  <c:v>Final Result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Sheet10!$D$4:$D$13</c:f>
              <c:strCache>
                <c:ptCount val="10"/>
                <c:pt idx="0">
                  <c:v>Kunal</c:v>
                </c:pt>
                <c:pt idx="1">
                  <c:v>Arjun</c:v>
                </c:pt>
                <c:pt idx="2">
                  <c:v>Dheer</c:v>
                </c:pt>
                <c:pt idx="3">
                  <c:v>Aditya</c:v>
                </c:pt>
                <c:pt idx="4">
                  <c:v>Aditi</c:v>
                </c:pt>
                <c:pt idx="5">
                  <c:v>Raj</c:v>
                </c:pt>
                <c:pt idx="6">
                  <c:v>Minal</c:v>
                </c:pt>
                <c:pt idx="7">
                  <c:v>Abhinav</c:v>
                </c:pt>
                <c:pt idx="8">
                  <c:v>Riya</c:v>
                </c:pt>
                <c:pt idx="9">
                  <c:v>Nihar</c:v>
                </c:pt>
              </c:strCache>
            </c:strRef>
          </c:cat>
          <c:val>
            <c:numRef>
              <c:f>Sheet10!$E$4:$E$13</c:f>
              <c:numCache>
                <c:formatCode>General</c:formatCode>
                <c:ptCount val="10"/>
                <c:pt idx="0">
                  <c:v>97</c:v>
                </c:pt>
                <c:pt idx="1">
                  <c:v>96</c:v>
                </c:pt>
                <c:pt idx="2">
                  <c:v>95</c:v>
                </c:pt>
                <c:pt idx="3">
                  <c:v>94</c:v>
                </c:pt>
                <c:pt idx="4">
                  <c:v>93</c:v>
                </c:pt>
                <c:pt idx="5">
                  <c:v>90</c:v>
                </c:pt>
                <c:pt idx="6">
                  <c:v>89</c:v>
                </c:pt>
                <c:pt idx="7">
                  <c:v>86</c:v>
                </c:pt>
                <c:pt idx="8">
                  <c:v>83</c:v>
                </c:pt>
                <c:pt idx="9">
                  <c:v>83</c:v>
                </c:pt>
              </c:numCache>
            </c:numRef>
          </c:val>
          <c:extLst>
            <c:ext xmlns:c16="http://schemas.microsoft.com/office/drawing/2014/chart" uri="{C3380CC4-5D6E-409C-BE32-E72D297353CC}">
              <c16:uniqueId val="{00000000-739F-43EF-87F0-4A3254B01645}"/>
            </c:ext>
          </c:extLst>
        </c:ser>
        <c:dLbls>
          <c:dLblPos val="outEnd"/>
          <c:showLegendKey val="0"/>
          <c:showVal val="1"/>
          <c:showCatName val="0"/>
          <c:showSerName val="0"/>
          <c:showPercent val="0"/>
          <c:showBubbleSize val="0"/>
        </c:dLbls>
        <c:gapWidth val="219"/>
        <c:overlap val="-27"/>
        <c:axId val="1807057888"/>
        <c:axId val="1807072288"/>
      </c:barChart>
      <c:catAx>
        <c:axId val="180705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Student</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072288"/>
        <c:crosses val="autoZero"/>
        <c:auto val="1"/>
        <c:lblAlgn val="ctr"/>
        <c:lblOffset val="100"/>
        <c:noMultiLvlLbl val="0"/>
      </c:catAx>
      <c:valAx>
        <c:axId val="1807072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Max</a:t>
                </a:r>
                <a:r>
                  <a:rPr lang="en-IN" baseline="0"/>
                  <a:t>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057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svgsilh.com/image/841606.html" TargetMode="External"/><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9</xdr:col>
      <xdr:colOff>434340</xdr:colOff>
      <xdr:row>1</xdr:row>
      <xdr:rowOff>160021</xdr:rowOff>
    </xdr:from>
    <xdr:to>
      <xdr:col>12</xdr:col>
      <xdr:colOff>510540</xdr:colOff>
      <xdr:row>7</xdr:row>
      <xdr:rowOff>45721</xdr:rowOff>
    </xdr:to>
    <mc:AlternateContent xmlns:mc="http://schemas.openxmlformats.org/markup-compatibility/2006" xmlns:sle15="http://schemas.microsoft.com/office/drawing/2012/slicer">
      <mc:Choice Requires="sle15">
        <xdr:graphicFrame macro="">
          <xdr:nvGraphicFramePr>
            <xdr:cNvPr id="2" name="Gender">
              <a:extLst>
                <a:ext uri="{FF2B5EF4-FFF2-40B4-BE49-F238E27FC236}">
                  <a16:creationId xmlns:a16="http://schemas.microsoft.com/office/drawing/2014/main" id="{3A9EEFB2-19F9-1976-7602-8D4A8749D7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79920" y="342901"/>
              <a:ext cx="1905000" cy="10287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449580</xdr:colOff>
      <xdr:row>7</xdr:row>
      <xdr:rowOff>99061</xdr:rowOff>
    </xdr:from>
    <xdr:to>
      <xdr:col>12</xdr:col>
      <xdr:colOff>541020</xdr:colOff>
      <xdr:row>21</xdr:row>
      <xdr:rowOff>167641</xdr:rowOff>
    </xdr:to>
    <mc:AlternateContent xmlns:mc="http://schemas.openxmlformats.org/markup-compatibility/2006">
      <mc:Choice xmlns:sle15="http://schemas.microsoft.com/office/drawing/2012/slicer" Requires="sle15">
        <xdr:graphicFrame macro="">
          <xdr:nvGraphicFramePr>
            <xdr:cNvPr id="3" name="House">
              <a:extLst>
                <a:ext uri="{FF2B5EF4-FFF2-40B4-BE49-F238E27FC236}">
                  <a16:creationId xmlns:a16="http://schemas.microsoft.com/office/drawing/2014/main" id="{3B72B858-8158-C64A-E453-AF5F471A8058}"/>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6995160" y="1424941"/>
              <a:ext cx="1920240" cy="153162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45720</xdr:colOff>
      <xdr:row>0</xdr:row>
      <xdr:rowOff>38100</xdr:rowOff>
    </xdr:from>
    <xdr:to>
      <xdr:col>0</xdr:col>
      <xdr:colOff>617220</xdr:colOff>
      <xdr:row>2</xdr:row>
      <xdr:rowOff>179846</xdr:rowOff>
    </xdr:to>
    <xdr:pic>
      <xdr:nvPicPr>
        <xdr:cNvPr id="5" name="Graphic 4">
          <a:extLst>
            <a:ext uri="{FF2B5EF4-FFF2-40B4-BE49-F238E27FC236}">
              <a16:creationId xmlns:a16="http://schemas.microsoft.com/office/drawing/2014/main" id="{1198A44A-5B8D-DB16-55D7-7748423744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45720" y="38100"/>
          <a:ext cx="571500" cy="507506"/>
        </a:xfrm>
        <a:prstGeom prst="rect">
          <a:avLst/>
        </a:prstGeom>
      </xdr:spPr>
    </xdr:pic>
    <xdr:clientData/>
  </xdr:twoCellAnchor>
  <xdr:twoCellAnchor>
    <xdr:from>
      <xdr:col>9</xdr:col>
      <xdr:colOff>121920</xdr:colOff>
      <xdr:row>0</xdr:row>
      <xdr:rowOff>0</xdr:rowOff>
    </xdr:from>
    <xdr:to>
      <xdr:col>13</xdr:col>
      <xdr:colOff>251460</xdr:colOff>
      <xdr:row>23</xdr:row>
      <xdr:rowOff>152400</xdr:rowOff>
    </xdr:to>
    <xdr:sp macro="" textlink="">
      <xdr:nvSpPr>
        <xdr:cNvPr id="6" name="Frame 5">
          <a:extLst>
            <a:ext uri="{FF2B5EF4-FFF2-40B4-BE49-F238E27FC236}">
              <a16:creationId xmlns:a16="http://schemas.microsoft.com/office/drawing/2014/main" id="{F791AA85-F189-9B24-7214-51300B6AC08A}"/>
            </a:ext>
          </a:extLst>
        </xdr:cNvPr>
        <xdr:cNvSpPr/>
      </xdr:nvSpPr>
      <xdr:spPr>
        <a:xfrm>
          <a:off x="6667500" y="0"/>
          <a:ext cx="2567940" cy="3307080"/>
        </a:xfrm>
        <a:prstGeom prst="fram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464820</xdr:colOff>
      <xdr:row>1</xdr:row>
      <xdr:rowOff>45720</xdr:rowOff>
    </xdr:from>
    <xdr:to>
      <xdr:col>15</xdr:col>
      <xdr:colOff>419100</xdr:colOff>
      <xdr:row>17</xdr:row>
      <xdr:rowOff>129540</xdr:rowOff>
    </xdr:to>
    <xdr:graphicFrame macro="">
      <xdr:nvGraphicFramePr>
        <xdr:cNvPr id="3" name="Chart 2">
          <a:extLst>
            <a:ext uri="{FF2B5EF4-FFF2-40B4-BE49-F238E27FC236}">
              <a16:creationId xmlns:a16="http://schemas.microsoft.com/office/drawing/2014/main" id="{1EC296FE-71E7-5BE7-F450-10936AD10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315238</xdr:colOff>
      <xdr:row>2</xdr:row>
      <xdr:rowOff>11430</xdr:rowOff>
    </xdr:from>
    <xdr:to>
      <xdr:col>12</xdr:col>
      <xdr:colOff>124738</xdr:colOff>
      <xdr:row>18</xdr:row>
      <xdr:rowOff>121920</xdr:rowOff>
    </xdr:to>
    <xdr:graphicFrame macro="">
      <xdr:nvGraphicFramePr>
        <xdr:cNvPr id="2" name="Chart 1">
          <a:extLst>
            <a:ext uri="{FF2B5EF4-FFF2-40B4-BE49-F238E27FC236}">
              <a16:creationId xmlns:a16="http://schemas.microsoft.com/office/drawing/2014/main" id="{2BA811FD-D4D3-2338-A7F4-F1A857DE8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251460</xdr:colOff>
      <xdr:row>6</xdr:row>
      <xdr:rowOff>60960</xdr:rowOff>
    </xdr:from>
    <xdr:to>
      <xdr:col>14</xdr:col>
      <xdr:colOff>358140</xdr:colOff>
      <xdr:row>21</xdr:row>
      <xdr:rowOff>60960</xdr:rowOff>
    </xdr:to>
    <xdr:graphicFrame macro="">
      <xdr:nvGraphicFramePr>
        <xdr:cNvPr id="3" name="Chart 2">
          <a:extLst>
            <a:ext uri="{FF2B5EF4-FFF2-40B4-BE49-F238E27FC236}">
              <a16:creationId xmlns:a16="http://schemas.microsoft.com/office/drawing/2014/main" id="{9CA04E36-ACF5-BC3E-407E-7AE33F9A5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13</xdr:col>
      <xdr:colOff>22860</xdr:colOff>
      <xdr:row>8</xdr:row>
      <xdr:rowOff>38101</xdr:rowOff>
    </xdr:from>
    <xdr:to>
      <xdr:col>16</xdr:col>
      <xdr:colOff>0</xdr:colOff>
      <xdr:row>16</xdr:row>
      <xdr:rowOff>45721</xdr:rowOff>
    </xdr:to>
    <mc:AlternateContent xmlns:mc="http://schemas.openxmlformats.org/markup-compatibility/2006" xmlns:sle15="http://schemas.microsoft.com/office/drawing/2012/slicer">
      <mc:Choice Requires="sle15">
        <xdr:graphicFrame macro="">
          <xdr:nvGraphicFramePr>
            <xdr:cNvPr id="2" name="House 1">
              <a:extLst>
                <a:ext uri="{FF2B5EF4-FFF2-40B4-BE49-F238E27FC236}">
                  <a16:creationId xmlns:a16="http://schemas.microsoft.com/office/drawing/2014/main" id="{CB286E23-3F8C-5BDB-0329-8CA58E181C8E}"/>
                </a:ext>
              </a:extLst>
            </xdr:cNvPr>
            <xdr:cNvGraphicFramePr/>
          </xdr:nvGraphicFramePr>
          <xdr:xfrm>
            <a:off x="0" y="0"/>
            <a:ext cx="0" cy="0"/>
          </xdr:xfrm>
          <a:graphic>
            <a:graphicData uri="http://schemas.microsoft.com/office/drawing/2010/slicer">
              <sle:slicer xmlns:sle="http://schemas.microsoft.com/office/drawing/2010/slicer" name="House 1"/>
            </a:graphicData>
          </a:graphic>
        </xdr:graphicFrame>
      </mc:Choice>
      <mc:Fallback xmlns="">
        <xdr:sp macro="" textlink="">
          <xdr:nvSpPr>
            <xdr:cNvPr id="0" name=""/>
            <xdr:cNvSpPr>
              <a:spLocks noTextEdit="1"/>
            </xdr:cNvSpPr>
          </xdr:nvSpPr>
          <xdr:spPr>
            <a:xfrm>
              <a:off x="10683240" y="1584961"/>
              <a:ext cx="1805940" cy="14706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594360</xdr:colOff>
      <xdr:row>1</xdr:row>
      <xdr:rowOff>251461</xdr:rowOff>
    </xdr:from>
    <xdr:to>
      <xdr:col>16</xdr:col>
      <xdr:colOff>38100</xdr:colOff>
      <xdr:row>7</xdr:row>
      <xdr:rowOff>22861</xdr:rowOff>
    </xdr:to>
    <mc:AlternateContent xmlns:mc="http://schemas.openxmlformats.org/markup-compatibility/2006" xmlns:sle15="http://schemas.microsoft.com/office/drawing/2012/slicer">
      <mc:Choice Requires="sle15">
        <xdr:graphicFrame macro="">
          <xdr:nvGraphicFramePr>
            <xdr:cNvPr id="3" name="Grade">
              <a:extLst>
                <a:ext uri="{FF2B5EF4-FFF2-40B4-BE49-F238E27FC236}">
                  <a16:creationId xmlns:a16="http://schemas.microsoft.com/office/drawing/2014/main" id="{E0767FE4-C054-6678-91B9-F081B504EA6C}"/>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0645140" y="434341"/>
              <a:ext cx="1882140" cy="9525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KUMAR" refreshedDate="45980.97616377315" createdVersion="8" refreshedVersion="8" minRefreshableVersion="3" recordCount="18" xr:uid="{94B1EC66-340A-44D7-8AB7-8FFEA86FD8D7}">
  <cacheSource type="worksheet">
    <worksheetSource ref="A1:H19" sheet="Sheet1"/>
  </cacheSource>
  <cacheFields count="8">
    <cacheField name="Name" numFmtId="0">
      <sharedItems/>
    </cacheField>
    <cacheField name="Gender" numFmtId="0">
      <sharedItems count="2">
        <s v="M"/>
        <s v="F"/>
      </sharedItems>
    </cacheField>
    <cacheField name="Age" numFmtId="0">
      <sharedItems containsSemiMixedTypes="0" containsString="0" containsNumber="1" containsInteger="1" minValue="14" maxValue="17"/>
    </cacheField>
    <cacheField name="Class" numFmtId="0">
      <sharedItems containsSemiMixedTypes="0" containsString="0" containsNumber="1" containsInteger="1" minValue="8" maxValue="10"/>
    </cacheField>
    <cacheField name="House" numFmtId="0">
      <sharedItems count="4">
        <s v="B"/>
        <s v="A"/>
        <s v="C"/>
        <s v="D"/>
      </sharedItems>
    </cacheField>
    <cacheField name="Unit Test 1" numFmtId="0">
      <sharedItems containsSemiMixedTypes="0" containsString="0" containsNumber="1" containsInteger="1" minValue="70" maxValue="99"/>
    </cacheField>
    <cacheField name="Unit Test 2" numFmtId="0">
      <sharedItems containsSemiMixedTypes="0" containsString="0" containsNumber="1" containsInteger="1" minValue="76" maxValue="96"/>
    </cacheField>
    <cacheField name="Final Test" numFmtId="0">
      <sharedItems containsSemiMixedTypes="0" containsString="0" containsNumber="1" containsInteger="1" minValue="77"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KUMAR" refreshedDate="45984.431556249998" createdVersion="8" refreshedVersion="8" minRefreshableVersion="3" recordCount="10" xr:uid="{C16BD094-1E87-41C7-8EA2-227B9A2CCCE6}">
  <cacheSource type="worksheet">
    <worksheetSource name="Table2"/>
  </cacheSource>
  <cacheFields count="9">
    <cacheField name="Sl No." numFmtId="0">
      <sharedItems containsSemiMixedTypes="0" containsString="0" containsNumber="1" containsInteger="1" minValue="1" maxValue="10"/>
    </cacheField>
    <cacheField name="First Name" numFmtId="0">
      <sharedItems count="10">
        <s v="Apoorva"/>
        <s v="Binay"/>
        <s v="Teesta"/>
        <s v="Ritika"/>
        <s v="Kunal"/>
        <s v="Suraj"/>
        <s v="Vijay"/>
        <s v="Aditi"/>
        <s v="Rajiv"/>
        <s v="Abhinav"/>
      </sharedItems>
    </cacheField>
    <cacheField name=" Last Name" numFmtId="0">
      <sharedItems/>
    </cacheField>
    <cacheField name="Gender" numFmtId="0">
      <sharedItems count="2">
        <s v="F"/>
        <s v="M"/>
      </sharedItems>
    </cacheField>
    <cacheField name="House" numFmtId="0">
      <sharedItems count="4">
        <s v="A"/>
        <s v="B"/>
        <s v="C"/>
        <s v="D"/>
      </sharedItems>
    </cacheField>
    <cacheField name="Unit test 1" numFmtId="0">
      <sharedItems containsSemiMixedTypes="0" containsString="0" containsNumber="1" containsInteger="1" minValue="86" maxValue="98"/>
    </cacheField>
    <cacheField name="Unit test 2" numFmtId="0">
      <sharedItems containsSemiMixedTypes="0" containsString="0" containsNumber="1" containsInteger="1" minValue="80" maxValue="95"/>
    </cacheField>
    <cacheField name="Final Result" numFmtId="0">
      <sharedItems containsSemiMixedTypes="0" containsString="0" containsNumber="1" containsInteger="1" minValue="80" maxValue="97"/>
    </cacheField>
    <cacheField name="Email" numFmtId="0">
      <sharedItems count="10">
        <s v="apr@xyz.com"/>
        <s v="bin@mail.com"/>
        <s v="tess@xyz.com"/>
        <s v="rik@xyz.com"/>
        <s v="kun@mail.com"/>
        <s v="sur@mail.com"/>
        <s v="vij@xyz.com"/>
        <s v="adi@xyz.com"/>
        <s v="raj@xyz.com"/>
        <s v="abhui@xyz.co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KUMAR" refreshedDate="45986.529176504628" createdVersion="8" refreshedVersion="8" minRefreshableVersion="3" recordCount="10" xr:uid="{9EEF6CA5-E060-4B7C-B410-791F84F5A50F}">
  <cacheSource type="worksheet">
    <worksheetSource name="Table3"/>
  </cacheSource>
  <cacheFields count="9">
    <cacheField name=" Sl. No" numFmtId="0">
      <sharedItems containsSemiMixedTypes="0" containsString="0" containsNumber="1" containsInteger="1" minValue="1" maxValue="10"/>
    </cacheField>
    <cacheField name="First Name" numFmtId="0">
      <sharedItems count="10">
        <s v="Kunal"/>
        <s v="Arjun"/>
        <s v="Dheer"/>
        <s v="Aditya"/>
        <s v="Aditi"/>
        <s v="Raj"/>
        <s v="Minal"/>
        <s v="Abhinav"/>
        <s v="Riya"/>
        <s v="Nihar"/>
      </sharedItems>
    </cacheField>
    <cacheField name="Last Name" numFmtId="0">
      <sharedItems/>
    </cacheField>
    <cacheField name="House" numFmtId="0">
      <sharedItems count="4">
        <s v="Animone"/>
        <s v="Jasmine"/>
        <s v="Lotus"/>
        <s v="Marigold"/>
      </sharedItems>
    </cacheField>
    <cacheField name="Unit Test 1" numFmtId="0">
      <sharedItems containsSemiMixedTypes="0" containsString="0" containsNumber="1" containsInteger="1" minValue="80" maxValue="98"/>
    </cacheField>
    <cacheField name="Unit Test 2" numFmtId="0">
      <sharedItems containsSemiMixedTypes="0" containsString="0" containsNumber="1" containsInteger="1" minValue="82" maxValue="98"/>
    </cacheField>
    <cacheField name="Final Result" numFmtId="0">
      <sharedItems containsSemiMixedTypes="0" containsString="0" containsNumber="1" containsInteger="1" minValue="83" maxValue="97"/>
    </cacheField>
    <cacheField name="Grade" numFmtId="0">
      <sharedItems count="2">
        <s v="O"/>
        <s v="A"/>
      </sharedItems>
    </cacheField>
    <cacheField name="emai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Harish"/>
    <x v="0"/>
    <n v="14"/>
    <n v="8"/>
    <x v="0"/>
    <n v="90"/>
    <n v="94"/>
    <n v="97"/>
  </r>
  <r>
    <s v="Keshav"/>
    <x v="0"/>
    <n v="14"/>
    <n v="8"/>
    <x v="1"/>
    <n v="90"/>
    <n v="96"/>
    <n v="94"/>
  </r>
  <r>
    <s v="Sourav"/>
    <x v="0"/>
    <n v="14"/>
    <n v="8"/>
    <x v="0"/>
    <n v="70"/>
    <n v="87"/>
    <n v="86"/>
  </r>
  <r>
    <s v="Arjun"/>
    <x v="0"/>
    <n v="14"/>
    <n v="8"/>
    <x v="0"/>
    <n v="82"/>
    <n v="78"/>
    <n v="86"/>
  </r>
  <r>
    <s v="Trisha"/>
    <x v="1"/>
    <n v="14"/>
    <n v="8"/>
    <x v="1"/>
    <n v="80"/>
    <n v="84"/>
    <n v="81"/>
  </r>
  <r>
    <s v="Neha"/>
    <x v="1"/>
    <n v="15"/>
    <n v="9"/>
    <x v="2"/>
    <n v="99"/>
    <n v="92"/>
    <n v="96"/>
  </r>
  <r>
    <s v="Rishika"/>
    <x v="1"/>
    <n v="15"/>
    <n v="9"/>
    <x v="1"/>
    <n v="93"/>
    <n v="87"/>
    <n v="95"/>
  </r>
  <r>
    <s v="Aditya"/>
    <x v="0"/>
    <n v="15"/>
    <n v="9"/>
    <x v="1"/>
    <n v="86"/>
    <n v="88"/>
    <n v="95"/>
  </r>
  <r>
    <s v="Deva"/>
    <x v="0"/>
    <n v="15"/>
    <n v="9"/>
    <x v="3"/>
    <n v="87"/>
    <n v="85"/>
    <n v="90"/>
  </r>
  <r>
    <s v="Vinita"/>
    <x v="1"/>
    <n v="15"/>
    <n v="9"/>
    <x v="0"/>
    <n v="89"/>
    <n v="79"/>
    <n v="83"/>
  </r>
  <r>
    <s v="Junaid"/>
    <x v="0"/>
    <n v="15"/>
    <n v="9"/>
    <x v="3"/>
    <n v="78"/>
    <n v="83"/>
    <n v="82"/>
  </r>
  <r>
    <s v="Ishan"/>
    <x v="0"/>
    <n v="16"/>
    <n v="10"/>
    <x v="2"/>
    <n v="85"/>
    <n v="80"/>
    <n v="84"/>
  </r>
  <r>
    <s v="Priti"/>
    <x v="1"/>
    <n v="16"/>
    <n v="10"/>
    <x v="3"/>
    <n v="79"/>
    <n v="87"/>
    <n v="83"/>
  </r>
  <r>
    <s v="Bishnu"/>
    <x v="0"/>
    <n v="16"/>
    <n v="10"/>
    <x v="2"/>
    <n v="80"/>
    <n v="79"/>
    <n v="80"/>
  </r>
  <r>
    <s v="Shruti"/>
    <x v="1"/>
    <n v="16"/>
    <n v="10"/>
    <x v="2"/>
    <n v="78"/>
    <n v="76"/>
    <n v="77"/>
  </r>
  <r>
    <s v="Manoj"/>
    <x v="0"/>
    <n v="17"/>
    <n v="10"/>
    <x v="0"/>
    <n v="88"/>
    <n v="80"/>
    <n v="85"/>
  </r>
  <r>
    <s v="Gopal"/>
    <x v="0"/>
    <n v="17"/>
    <n v="10"/>
    <x v="1"/>
    <n v="86"/>
    <n v="84"/>
    <n v="83"/>
  </r>
  <r>
    <s v="Tanmay"/>
    <x v="0"/>
    <n v="17"/>
    <n v="10"/>
    <x v="3"/>
    <n v="79"/>
    <n v="80"/>
    <n v="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5"/>
    <x v="0"/>
    <s v="Joshi"/>
    <x v="0"/>
    <x v="0"/>
    <n v="93"/>
    <n v="80"/>
    <n v="90"/>
    <x v="0"/>
  </r>
  <r>
    <n v="6"/>
    <x v="1"/>
    <s v="Kumar"/>
    <x v="1"/>
    <x v="1"/>
    <n v="87"/>
    <n v="82"/>
    <n v="85"/>
    <x v="1"/>
  </r>
  <r>
    <n v="7"/>
    <x v="2"/>
    <s v="Roy"/>
    <x v="0"/>
    <x v="2"/>
    <n v="86"/>
    <n v="85"/>
    <n v="81"/>
    <x v="2"/>
  </r>
  <r>
    <n v="4"/>
    <x v="3"/>
    <s v="Sharma"/>
    <x v="0"/>
    <x v="3"/>
    <n v="98"/>
    <n v="87"/>
    <n v="96"/>
    <x v="3"/>
  </r>
  <r>
    <n v="9"/>
    <x v="4"/>
    <s v="Kumar"/>
    <x v="1"/>
    <x v="0"/>
    <n v="90"/>
    <n v="90"/>
    <n v="92"/>
    <x v="4"/>
  </r>
  <r>
    <n v="3"/>
    <x v="5"/>
    <s v="Sinha"/>
    <x v="1"/>
    <x v="2"/>
    <n v="88"/>
    <n v="90"/>
    <n v="89"/>
    <x v="5"/>
  </r>
  <r>
    <n v="8"/>
    <x v="6"/>
    <s v="Kapoor"/>
    <x v="1"/>
    <x v="3"/>
    <n v="91"/>
    <n v="93"/>
    <n v="80"/>
    <x v="6"/>
  </r>
  <r>
    <n v="10"/>
    <x v="7"/>
    <s v="Sinha"/>
    <x v="0"/>
    <x v="1"/>
    <n v="92"/>
    <n v="94"/>
    <n v="95"/>
    <x v="7"/>
  </r>
  <r>
    <n v="2"/>
    <x v="8"/>
    <s v="Singh"/>
    <x v="1"/>
    <x v="1"/>
    <n v="89"/>
    <n v="94"/>
    <n v="90"/>
    <x v="8"/>
  </r>
  <r>
    <n v="1"/>
    <x v="9"/>
    <s v="Kumar"/>
    <x v="1"/>
    <x v="0"/>
    <n v="90"/>
    <n v="95"/>
    <n v="97"/>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s v="Kumar"/>
    <x v="0"/>
    <n v="90"/>
    <n v="98"/>
    <n v="97"/>
    <x v="0"/>
    <s v="kunal@xyz.com"/>
  </r>
  <r>
    <n v="7"/>
    <x v="1"/>
    <s v="Kapoor"/>
    <x v="1"/>
    <n v="96"/>
    <n v="97"/>
    <n v="96"/>
    <x v="0"/>
    <s v="arjun@mail.com"/>
  </r>
  <r>
    <n v="6"/>
    <x v="2"/>
    <s v="Kumar"/>
    <x v="2"/>
    <n v="92"/>
    <n v="94"/>
    <n v="95"/>
    <x v="0"/>
    <s v="dheer@xyz.com"/>
  </r>
  <r>
    <n v="9"/>
    <x v="3"/>
    <s v="Singh"/>
    <x v="0"/>
    <n v="90"/>
    <n v="93"/>
    <n v="94"/>
    <x v="0"/>
    <s v="aditya@mail.com"/>
  </r>
  <r>
    <n v="2"/>
    <x v="4"/>
    <s v="Sinha"/>
    <x v="2"/>
    <n v="89"/>
    <n v="91"/>
    <n v="93"/>
    <x v="0"/>
    <s v="aditi@mail.com"/>
  </r>
  <r>
    <n v="3"/>
    <x v="5"/>
    <s v="Roy"/>
    <x v="1"/>
    <n v="98"/>
    <n v="85"/>
    <n v="90"/>
    <x v="0"/>
    <s v="raj@xyz.com"/>
  </r>
  <r>
    <n v="5"/>
    <x v="6"/>
    <s v="Singh"/>
    <x v="0"/>
    <n v="89"/>
    <n v="88"/>
    <n v="89"/>
    <x v="1"/>
    <s v="minal@mail.com"/>
  </r>
  <r>
    <n v="4"/>
    <x v="7"/>
    <s v="Kumar"/>
    <x v="3"/>
    <n v="81"/>
    <n v="87"/>
    <n v="86"/>
    <x v="1"/>
    <s v="abhi@xyz.com"/>
  </r>
  <r>
    <n v="8"/>
    <x v="8"/>
    <s v="Roy"/>
    <x v="3"/>
    <n v="87"/>
    <n v="89"/>
    <n v="83"/>
    <x v="1"/>
    <s v="riya@mail.com"/>
  </r>
  <r>
    <n v="10"/>
    <x v="9"/>
    <s v="Ranjan"/>
    <x v="2"/>
    <n v="80"/>
    <n v="82"/>
    <n v="83"/>
    <x v="1"/>
    <s v="nihar@xyz.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D0E343-5B77-4E4B-8B7B-2049AF2917B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9">
    <pivotField showAll="0"/>
    <pivotField axis="axisRow" showAll="0">
      <items count="11">
        <item x="9"/>
        <item x="7"/>
        <item x="0"/>
        <item x="1"/>
        <item x="4"/>
        <item x="8"/>
        <item x="3"/>
        <item x="5"/>
        <item x="2"/>
        <item x="6"/>
        <item t="default"/>
      </items>
    </pivotField>
    <pivotField showAll="0"/>
    <pivotField showAll="0">
      <items count="3">
        <item x="0"/>
        <item x="1"/>
        <item t="default"/>
      </items>
    </pivotField>
    <pivotField showAll="0">
      <items count="5">
        <item x="0"/>
        <item x="1"/>
        <item x="2"/>
        <item x="3"/>
        <item t="default"/>
      </items>
    </pivotField>
    <pivotField dataField="1" showAll="0"/>
    <pivotField showAll="0"/>
    <pivotField showAll="0"/>
    <pivotField axis="axisRow" showAll="0">
      <items count="11">
        <item x="9"/>
        <item x="7"/>
        <item x="0"/>
        <item x="1"/>
        <item x="4"/>
        <item x="8"/>
        <item x="3"/>
        <item x="5"/>
        <item x="2"/>
        <item x="6"/>
        <item t="default"/>
      </items>
    </pivotField>
  </pivotFields>
  <rowFields count="2">
    <field x="8"/>
    <field x="1"/>
  </rowFields>
  <rowItems count="21">
    <i>
      <x/>
    </i>
    <i r="1">
      <x/>
    </i>
    <i>
      <x v="1"/>
    </i>
    <i r="1">
      <x v="1"/>
    </i>
    <i>
      <x v="2"/>
    </i>
    <i r="1">
      <x v="2"/>
    </i>
    <i>
      <x v="3"/>
    </i>
    <i r="1">
      <x v="3"/>
    </i>
    <i>
      <x v="4"/>
    </i>
    <i r="1">
      <x v="4"/>
    </i>
    <i>
      <x v="5"/>
    </i>
    <i r="1">
      <x v="5"/>
    </i>
    <i>
      <x v="6"/>
    </i>
    <i r="1">
      <x v="6"/>
    </i>
    <i>
      <x v="7"/>
    </i>
    <i r="1">
      <x v="7"/>
    </i>
    <i>
      <x v="8"/>
    </i>
    <i r="1">
      <x v="8"/>
    </i>
    <i>
      <x v="9"/>
    </i>
    <i r="1">
      <x v="9"/>
    </i>
    <i t="grand">
      <x/>
    </i>
  </rowItems>
  <colItems count="1">
    <i/>
  </colItems>
  <dataFields count="1">
    <dataField name="Sum of Unit test 1"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9A451-F200-453B-B015-4607A8BBB746}"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2" firstHeaderRow="1" firstDataRow="1" firstDataCol="2"/>
  <pivotFields count="8">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axis="axisRow" compact="0" outline="0" showAll="0" sortType="descending" defaultSubtotal="0">
      <items count="4">
        <item x="1"/>
        <item x="0"/>
        <item x="2"/>
        <item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dataField="1" compact="0" outline="0" showAll="0" defaultSubtotal="0"/>
  </pivotFields>
  <rowFields count="2">
    <field x="4"/>
    <field x="1"/>
  </rowFields>
  <rowItems count="9">
    <i>
      <x/>
      <x/>
    </i>
    <i r="1">
      <x v="1"/>
    </i>
    <i>
      <x v="1"/>
      <x/>
    </i>
    <i r="1">
      <x v="1"/>
    </i>
    <i>
      <x v="2"/>
      <x/>
    </i>
    <i r="1">
      <x v="1"/>
    </i>
    <i>
      <x v="3"/>
      <x/>
    </i>
    <i r="1">
      <x v="1"/>
    </i>
    <i t="grand">
      <x/>
    </i>
  </rowItems>
  <colItems count="1">
    <i/>
  </colItems>
  <dataFields count="1">
    <dataField name="Sum of Final Test" fld="7" baseField="4" baseItem="0"/>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950B4C-BAE7-49EE-BC9E-C781EC0F65B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9">
    <pivotField showAll="0"/>
    <pivotField axis="axisRow" showAll="0">
      <items count="11">
        <item x="7"/>
        <item x="4"/>
        <item x="3"/>
        <item x="1"/>
        <item x="2"/>
        <item x="0"/>
        <item x="6"/>
        <item x="9"/>
        <item x="5"/>
        <item x="8"/>
        <item t="default"/>
      </items>
    </pivotField>
    <pivotField showAll="0"/>
    <pivotField axis="axisRow" showAll="0">
      <items count="5">
        <item x="0"/>
        <item x="1"/>
        <item x="2"/>
        <item x="3"/>
        <item t="default"/>
      </items>
    </pivotField>
    <pivotField showAll="0"/>
    <pivotField showAll="0"/>
    <pivotField dataField="1" showAll="0"/>
    <pivotField showAll="0">
      <items count="3">
        <item x="1"/>
        <item x="0"/>
        <item t="default"/>
      </items>
    </pivotField>
    <pivotField showAll="0"/>
  </pivotFields>
  <rowFields count="2">
    <field x="1"/>
    <field x="3"/>
  </rowFields>
  <rowItems count="21">
    <i>
      <x/>
    </i>
    <i r="1">
      <x v="3"/>
    </i>
    <i>
      <x v="1"/>
    </i>
    <i r="1">
      <x v="2"/>
    </i>
    <i>
      <x v="2"/>
    </i>
    <i r="1">
      <x/>
    </i>
    <i>
      <x v="3"/>
    </i>
    <i r="1">
      <x v="1"/>
    </i>
    <i>
      <x v="4"/>
    </i>
    <i r="1">
      <x v="2"/>
    </i>
    <i>
      <x v="5"/>
    </i>
    <i r="1">
      <x/>
    </i>
    <i>
      <x v="6"/>
    </i>
    <i r="1">
      <x/>
    </i>
    <i>
      <x v="7"/>
    </i>
    <i r="1">
      <x v="2"/>
    </i>
    <i>
      <x v="8"/>
    </i>
    <i r="1">
      <x v="1"/>
    </i>
    <i>
      <x v="9"/>
    </i>
    <i r="1">
      <x v="3"/>
    </i>
    <i t="grand">
      <x/>
    </i>
  </rowItems>
  <colItems count="1">
    <i/>
  </colItems>
  <dataFields count="1">
    <dataField name="Sum of Final Resul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46B275-DBBE-427E-9251-C8E08F6B3460}" sourceName="Gend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0DE7064E-76E0-4157-BDC7-C5BDD01291D0}" sourceName="House">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1" xr10:uid="{7F630F4F-BF76-4EB6-BB6D-83B7BC85BF5F}" sourceName="House">
  <extLst>
    <x:ext xmlns:x15="http://schemas.microsoft.com/office/spreadsheetml/2010/11/main" uri="{2F2917AC-EB37-4324-AD4E-5DD8C200BD13}">
      <x15:tableSlicerCache tableId="3"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589C5331-BFD8-4BF0-AEC0-42E1369FC733}" sourceName="Grade">
  <extLst>
    <x:ext xmlns:x15="http://schemas.microsoft.com/office/spreadsheetml/2010/11/main" uri="{2F2917AC-EB37-4324-AD4E-5DD8C200BD13}">
      <x15:tableSlicerCache tableId="3"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1BCC264-21A9-43E7-AF13-EDB8B6173DF2}" cache="Slicer_Gender" caption="Gender" rowHeight="234950"/>
  <slicer name="House" xr10:uid="{B3659E68-7773-4016-9516-A4CEBD8B4360}" cache="Slicer_House" caption="Hous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se 1" xr10:uid="{4AAE67D9-0A89-4FDD-B6F8-9A0D2A082E32}" cache="Slicer_House1" caption="House" rowHeight="234950"/>
  <slicer name="Grade" xr10:uid="{EDF1D21C-7814-4FA8-8F29-569C9E93F5B0}" cache="Slicer_Grade" caption="Gra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C295C1-F8AE-42A7-9C55-CE7563A449FE}" name="Table1" displayName="Table1" ref="A4:I22" totalsRowShown="0" headerRowDxfId="44" dataDxfId="42" headerRowBorderDxfId="43" tableBorderDxfId="41" totalsRowBorderDxfId="40">
  <autoFilter ref="A4:I22" xr:uid="{BCC295C1-F8AE-42A7-9C55-CE7563A449FE}">
    <filterColumn colId="1">
      <filters>
        <filter val="M"/>
      </filters>
    </filterColumn>
  </autoFilter>
  <tableColumns count="9">
    <tableColumn id="1" xr3:uid="{E6AFE8FA-8F1D-4BFB-A302-B3EA41C1A633}" name="Name" dataDxfId="39"/>
    <tableColumn id="2" xr3:uid="{A168BEBC-6630-4ED0-A54B-996D3861392F}" name="Gender" dataDxfId="38"/>
    <tableColumn id="3" xr3:uid="{E21CD20D-4A32-44CD-9072-559D8C4A9F1A}" name="Age" dataDxfId="37"/>
    <tableColumn id="4" xr3:uid="{A27C3FC2-E6F1-4490-8992-404C491350D2}" name="Class" dataDxfId="36"/>
    <tableColumn id="5" xr3:uid="{D9419E41-64E6-469A-BAE5-4A80D26662A7}" name="House" dataDxfId="35"/>
    <tableColumn id="6" xr3:uid="{3C6D55FD-3F0B-46CF-817B-686E58077D8B}" name="Unit Test 1" dataDxfId="34"/>
    <tableColumn id="7" xr3:uid="{D6419F21-85A4-434D-B2F6-F48E6ABFF60B}" name="Unit Test 2" dataDxfId="33"/>
    <tableColumn id="8" xr3:uid="{CA087D6E-44F0-4E12-9110-4D827075FDEC}" name="Final Test" dataDxfId="32"/>
    <tableColumn id="9" xr3:uid="{ACE28A9E-2234-4C0B-AEAC-12ECCB94690C}" name="email" dataDxfId="31" dataCellStyle="Hyperlin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6DF2AA-7526-474F-9CFD-90A3D2DA3E6C}" name="Table2" displayName="Table2" ref="A1:I11" totalsRowShown="0" headerRowDxfId="30" dataDxfId="28" headerRowBorderDxfId="29" tableBorderDxfId="27" totalsRowBorderDxfId="26">
  <autoFilter ref="A1:I11" xr:uid="{CC6DF2AA-7526-474F-9CFD-90A3D2DA3E6C}"/>
  <sortState xmlns:xlrd2="http://schemas.microsoft.com/office/spreadsheetml/2017/richdata2" ref="A2:I11">
    <sortCondition ref="A1:A11"/>
  </sortState>
  <tableColumns count="9">
    <tableColumn id="1" xr3:uid="{765399F4-547A-4A2E-A260-4B4F7A0E7D9E}" name="Sl No." dataDxfId="25"/>
    <tableColumn id="2" xr3:uid="{41172797-6220-4EE0-AC04-0544836FD7B4}" name="First Name" dataDxfId="24"/>
    <tableColumn id="3" xr3:uid="{E1DA597A-F862-4BC9-917E-6BA0183EEC88}" name=" Last Name" dataDxfId="23"/>
    <tableColumn id="4" xr3:uid="{0003BF97-7B69-4BDA-97A6-52CB9FA63E99}" name="Gender" dataDxfId="22"/>
    <tableColumn id="5" xr3:uid="{978D2C49-4646-4080-8515-3B5559051E99}" name="House" dataDxfId="21"/>
    <tableColumn id="6" xr3:uid="{3BACDAC2-1C8E-4894-A33C-546B81341DB2}" name="Unit test 1" dataDxfId="20"/>
    <tableColumn id="7" xr3:uid="{C288D340-1474-4549-AE24-AFFD53881B53}" name="Unit test 2" dataDxfId="19"/>
    <tableColumn id="8" xr3:uid="{453D685E-465C-4C1D-ADE9-85A76B5D2129}" name="Final Result" dataDxfId="18"/>
    <tableColumn id="9" xr3:uid="{7CD70ACE-9434-4D53-8666-C88BCE796AD7}" name="Email"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820E8E-A0F0-4689-A7CE-C7A196956786}" name="Table6" displayName="Table6" ref="A2:A5" totalsRowShown="0" headerRowDxfId="16" dataDxfId="15">
  <autoFilter ref="A2:A5" xr:uid="{92820E8E-A0F0-4689-A7CE-C7A196956786}"/>
  <tableColumns count="1">
    <tableColumn id="1" xr3:uid="{1AC24065-8C2D-4C5E-9B2D-B73DAA7076F1}" name="Grade"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CF837B-CE90-4319-9903-CFCA632C3496}" name="Table4" displayName="Table4" ref="A3:H6" totalsRowShown="0">
  <autoFilter ref="A3:H6" xr:uid="{6BCF837B-CE90-4319-9903-CFCA632C3496}"/>
  <tableColumns count="8">
    <tableColumn id="1" xr3:uid="{453BD2B8-1EAE-4767-8B01-6B2A9CA288EB}" name="Name"/>
    <tableColumn id="2" xr3:uid="{A7DB9E20-98F9-4DC7-97E8-5F6D492954D2}" name="Gender"/>
    <tableColumn id="3" xr3:uid="{9C12A044-69EF-44AD-8FF1-830D8D5037E5}" name="Age"/>
    <tableColumn id="4" xr3:uid="{6B738CB6-6D87-4D12-8037-BF399AEB349D}" name="Class"/>
    <tableColumn id="5" xr3:uid="{31BA8ECA-9CE6-46D2-A8E1-7DD9298879AD}" name="House"/>
    <tableColumn id="6" xr3:uid="{628B2173-E1BE-46FA-A1D8-8ECD3434011F}" name="Unit Test 1"/>
    <tableColumn id="7" xr3:uid="{DCDE5E3C-B7BE-4350-98DE-1C371E6F90AF}" name="Unit Test 2"/>
    <tableColumn id="8" xr3:uid="{2AC45BD1-8EED-4609-B853-71790C7BAC2A}" name="Final Tes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B3337A-8833-4E34-AB65-4FF07120CC41}" name="Table5" displayName="Table5" ref="A3:H6" totalsRowShown="0">
  <autoFilter ref="A3:H6" xr:uid="{24B3337A-8833-4E34-AB65-4FF07120CC41}"/>
  <tableColumns count="8">
    <tableColumn id="1" xr3:uid="{249F69AC-83DA-43E9-AFF1-97D31BA2271A}" name="Name"/>
    <tableColumn id="2" xr3:uid="{88E401CB-E85B-442C-BF2D-A9C2E187BB33}" name="Gender"/>
    <tableColumn id="3" xr3:uid="{28DE2AE0-E1B7-4FA8-ABFE-1CE8BA4698F7}" name="Age"/>
    <tableColumn id="4" xr3:uid="{A2E3F503-EF73-454F-8CB9-A871433F44CA}" name="Class"/>
    <tableColumn id="5" xr3:uid="{E1643B1E-DA2D-4A77-93F3-1724DF3AF531}" name="House"/>
    <tableColumn id="6" xr3:uid="{0605EB23-3723-48F2-A723-7D11F011F45F}" name="Unit Test 1"/>
    <tableColumn id="7" xr3:uid="{34C205C4-C700-4CE4-8646-AA52E50C9215}" name="Unit Test 2"/>
    <tableColumn id="8" xr3:uid="{13F2A621-6C29-475C-97D6-8BA2E6919912}" name="Final Tes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8DB3FD-E209-48DB-A96C-479D490BE9EB}" name="Table3" displayName="Table3" ref="A3:I13" totalsRowShown="0" headerRowDxfId="13" dataDxfId="11" headerRowBorderDxfId="12" tableBorderDxfId="10" totalsRowBorderDxfId="9">
  <autoFilter ref="A3:I13" xr:uid="{548DB3FD-E209-48DB-A96C-479D490BE9EB}"/>
  <sortState xmlns:xlrd2="http://schemas.microsoft.com/office/spreadsheetml/2017/richdata2" ref="A4:I13">
    <sortCondition descending="1" ref="G4:G13"/>
  </sortState>
  <tableColumns count="9">
    <tableColumn id="1" xr3:uid="{B39D6668-5E21-4ABB-99CF-0C0617D55FA4}" name=" Sl. No" dataDxfId="8"/>
    <tableColumn id="2" xr3:uid="{0877E7F0-8753-444D-BCA7-A965D51B8D12}" name="First Name" dataDxfId="7"/>
    <tableColumn id="3" xr3:uid="{7091F844-9348-468A-B265-1F1DFD4F13B8}" name="Last Name" dataDxfId="6"/>
    <tableColumn id="4" xr3:uid="{C9C0C06B-AAE1-4F0A-8277-184CB67A9700}" name="House" dataDxfId="5"/>
    <tableColumn id="5" xr3:uid="{BCD71273-B0AA-4A2D-A318-308FCD2A6ABC}" name="Unit Test 1" dataDxfId="4"/>
    <tableColumn id="6" xr3:uid="{A6C0A913-0074-4297-8751-585ADC8135CE}" name="Unit Test 2" dataDxfId="3"/>
    <tableColumn id="7" xr3:uid="{51E5371B-E663-4BFA-9711-64B29FDCF316}" name="Final Result" dataDxfId="2"/>
    <tableColumn id="8" xr3:uid="{1E731394-A251-4B8A-87CD-34D1C7EC9463}" name="Grade" dataDxfId="1"/>
    <tableColumn id="9" xr3:uid="{23BB0B1F-D198-4446-A68E-C9EB70B8A0B2}" name="email"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mailto:Jun@xyz.com" TargetMode="External"/><Relationship Id="rId13" Type="http://schemas.openxmlformats.org/officeDocument/2006/relationships/hyperlink" Target="mailto:ris@xyz.com" TargetMode="External"/><Relationship Id="rId18" Type="http://schemas.openxmlformats.org/officeDocument/2006/relationships/hyperlink" Target="mailto:vinita@mail.com" TargetMode="External"/><Relationship Id="rId3" Type="http://schemas.openxmlformats.org/officeDocument/2006/relationships/hyperlink" Target="mailto:bishnu@mail.%20Com" TargetMode="External"/><Relationship Id="rId21" Type="http://schemas.openxmlformats.org/officeDocument/2006/relationships/table" Target="../tables/table1.xml"/><Relationship Id="rId7" Type="http://schemas.openxmlformats.org/officeDocument/2006/relationships/hyperlink" Target="mailto:ishan@mail.com" TargetMode="External"/><Relationship Id="rId12" Type="http://schemas.openxmlformats.org/officeDocument/2006/relationships/hyperlink" Target="mailto:priti@xyz.com" TargetMode="External"/><Relationship Id="rId17" Type="http://schemas.openxmlformats.org/officeDocument/2006/relationships/hyperlink" Target="mailto:tris@mail.com" TargetMode="External"/><Relationship Id="rId2" Type="http://schemas.openxmlformats.org/officeDocument/2006/relationships/hyperlink" Target="mailto:arjun@xyz.com" TargetMode="External"/><Relationship Id="rId16" Type="http://schemas.openxmlformats.org/officeDocument/2006/relationships/hyperlink" Target="mailto:tan@mail.com" TargetMode="External"/><Relationship Id="rId20" Type="http://schemas.openxmlformats.org/officeDocument/2006/relationships/vmlDrawing" Target="../drawings/vmlDrawing1.vml"/><Relationship Id="rId1" Type="http://schemas.openxmlformats.org/officeDocument/2006/relationships/hyperlink" Target="mailto:adi@xyz.com" TargetMode="External"/><Relationship Id="rId6" Type="http://schemas.openxmlformats.org/officeDocument/2006/relationships/hyperlink" Target="mailto:harish@mail.com" TargetMode="External"/><Relationship Id="rId11" Type="http://schemas.openxmlformats.org/officeDocument/2006/relationships/hyperlink" Target="mailto:neha@mail.com" TargetMode="External"/><Relationship Id="rId5" Type="http://schemas.openxmlformats.org/officeDocument/2006/relationships/hyperlink" Target="mailto:gopal@xyz.com" TargetMode="External"/><Relationship Id="rId15" Type="http://schemas.openxmlformats.org/officeDocument/2006/relationships/hyperlink" Target="mailto:shr@xyz.com" TargetMode="External"/><Relationship Id="rId23" Type="http://schemas.openxmlformats.org/officeDocument/2006/relationships/comments" Target="../comments1.xml"/><Relationship Id="rId10" Type="http://schemas.openxmlformats.org/officeDocument/2006/relationships/hyperlink" Target="mailto:man@abc.com" TargetMode="External"/><Relationship Id="rId19" Type="http://schemas.openxmlformats.org/officeDocument/2006/relationships/drawing" Target="../drawings/drawing1.xml"/><Relationship Id="rId4" Type="http://schemas.openxmlformats.org/officeDocument/2006/relationships/hyperlink" Target="mailto:Deva@mail.com" TargetMode="External"/><Relationship Id="rId9" Type="http://schemas.openxmlformats.org/officeDocument/2006/relationships/hyperlink" Target="mailto:kes@xyz.com" TargetMode="External"/><Relationship Id="rId14" Type="http://schemas.openxmlformats.org/officeDocument/2006/relationships/hyperlink" Target="mailto:sourav@xyz.com" TargetMode="External"/><Relationship Id="rId22"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hyperlink" Target="mailto:kun@mail.com" TargetMode="External"/><Relationship Id="rId13" Type="http://schemas.openxmlformats.org/officeDocument/2006/relationships/comments" Target="../comments2.xml"/><Relationship Id="rId3" Type="http://schemas.openxmlformats.org/officeDocument/2006/relationships/hyperlink" Target="mailto:sur@mail.com" TargetMode="External"/><Relationship Id="rId7" Type="http://schemas.openxmlformats.org/officeDocument/2006/relationships/hyperlink" Target="mailto:vij@xyz.com" TargetMode="External"/><Relationship Id="rId12" Type="http://schemas.openxmlformats.org/officeDocument/2006/relationships/table" Target="../tables/table2.xml"/><Relationship Id="rId2" Type="http://schemas.openxmlformats.org/officeDocument/2006/relationships/hyperlink" Target="mailto:raj@xyz.com" TargetMode="External"/><Relationship Id="rId1" Type="http://schemas.openxmlformats.org/officeDocument/2006/relationships/hyperlink" Target="mailto:abhui@xyz.com" TargetMode="External"/><Relationship Id="rId6" Type="http://schemas.openxmlformats.org/officeDocument/2006/relationships/hyperlink" Target="mailto:tess@xyz.com" TargetMode="External"/><Relationship Id="rId11" Type="http://schemas.openxmlformats.org/officeDocument/2006/relationships/vmlDrawing" Target="../drawings/vmlDrawing2.vml"/><Relationship Id="rId5" Type="http://schemas.openxmlformats.org/officeDocument/2006/relationships/hyperlink" Target="mailto:bin@mail.com" TargetMode="External"/><Relationship Id="rId10" Type="http://schemas.openxmlformats.org/officeDocument/2006/relationships/hyperlink" Target="mailto:rik@xyz.com" TargetMode="External"/><Relationship Id="rId4" Type="http://schemas.openxmlformats.org/officeDocument/2006/relationships/hyperlink" Target="mailto:apr@xyz.com" TargetMode="External"/><Relationship Id="rId9" Type="http://schemas.openxmlformats.org/officeDocument/2006/relationships/hyperlink" Target="mailto:adi@xyz.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3" Type="http://schemas.openxmlformats.org/officeDocument/2006/relationships/hyperlink" Target="mailto:ris@xyz.com" TargetMode="External"/><Relationship Id="rId18" Type="http://schemas.openxmlformats.org/officeDocument/2006/relationships/hyperlink" Target="mailto:vinita@mail.com" TargetMode="External"/><Relationship Id="rId26" Type="http://schemas.openxmlformats.org/officeDocument/2006/relationships/hyperlink" Target="mailto:Jun@xyz.com" TargetMode="External"/><Relationship Id="rId21" Type="http://schemas.openxmlformats.org/officeDocument/2006/relationships/hyperlink" Target="mailto:bishnu@mail.%20Com" TargetMode="External"/><Relationship Id="rId34" Type="http://schemas.openxmlformats.org/officeDocument/2006/relationships/hyperlink" Target="mailto:tan@mail.com" TargetMode="External"/><Relationship Id="rId7" Type="http://schemas.openxmlformats.org/officeDocument/2006/relationships/hyperlink" Target="mailto:ishan@mail.com" TargetMode="External"/><Relationship Id="rId12" Type="http://schemas.openxmlformats.org/officeDocument/2006/relationships/hyperlink" Target="mailto:priti@xyz.com" TargetMode="External"/><Relationship Id="rId17" Type="http://schemas.openxmlformats.org/officeDocument/2006/relationships/hyperlink" Target="mailto:tris@mail.com" TargetMode="External"/><Relationship Id="rId25" Type="http://schemas.openxmlformats.org/officeDocument/2006/relationships/hyperlink" Target="mailto:ishan@mail.com" TargetMode="External"/><Relationship Id="rId33" Type="http://schemas.openxmlformats.org/officeDocument/2006/relationships/hyperlink" Target="mailto:shr@xyz.com" TargetMode="External"/><Relationship Id="rId38" Type="http://schemas.openxmlformats.org/officeDocument/2006/relationships/comments" Target="../comments3.xml"/><Relationship Id="rId2" Type="http://schemas.openxmlformats.org/officeDocument/2006/relationships/hyperlink" Target="mailto:arjun@xyz.com" TargetMode="External"/><Relationship Id="rId16" Type="http://schemas.openxmlformats.org/officeDocument/2006/relationships/hyperlink" Target="mailto:tan@mail.com" TargetMode="External"/><Relationship Id="rId20" Type="http://schemas.openxmlformats.org/officeDocument/2006/relationships/hyperlink" Target="mailto:arjun@xyz.com" TargetMode="External"/><Relationship Id="rId29" Type="http://schemas.openxmlformats.org/officeDocument/2006/relationships/hyperlink" Target="mailto:neha@mail.com" TargetMode="External"/><Relationship Id="rId1" Type="http://schemas.openxmlformats.org/officeDocument/2006/relationships/hyperlink" Target="mailto:adi@xyz.com" TargetMode="External"/><Relationship Id="rId6" Type="http://schemas.openxmlformats.org/officeDocument/2006/relationships/hyperlink" Target="mailto:harish@mail.com" TargetMode="External"/><Relationship Id="rId11" Type="http://schemas.openxmlformats.org/officeDocument/2006/relationships/hyperlink" Target="mailto:neha@mail.com" TargetMode="External"/><Relationship Id="rId24" Type="http://schemas.openxmlformats.org/officeDocument/2006/relationships/hyperlink" Target="mailto:harish@mail.com" TargetMode="External"/><Relationship Id="rId32" Type="http://schemas.openxmlformats.org/officeDocument/2006/relationships/hyperlink" Target="mailto:sourav@xyz.com" TargetMode="External"/><Relationship Id="rId37" Type="http://schemas.openxmlformats.org/officeDocument/2006/relationships/vmlDrawing" Target="../drawings/vmlDrawing3.vml"/><Relationship Id="rId5" Type="http://schemas.openxmlformats.org/officeDocument/2006/relationships/hyperlink" Target="mailto:gopal@xyz.com" TargetMode="External"/><Relationship Id="rId15" Type="http://schemas.openxmlformats.org/officeDocument/2006/relationships/hyperlink" Target="mailto:shr@xyz.com" TargetMode="External"/><Relationship Id="rId23" Type="http://schemas.openxmlformats.org/officeDocument/2006/relationships/hyperlink" Target="mailto:gopal@xyz.com" TargetMode="External"/><Relationship Id="rId28" Type="http://schemas.openxmlformats.org/officeDocument/2006/relationships/hyperlink" Target="mailto:man@abc.com" TargetMode="External"/><Relationship Id="rId36" Type="http://schemas.openxmlformats.org/officeDocument/2006/relationships/hyperlink" Target="mailto:vinita@mail.com" TargetMode="External"/><Relationship Id="rId10" Type="http://schemas.openxmlformats.org/officeDocument/2006/relationships/hyperlink" Target="mailto:man@abc.com" TargetMode="External"/><Relationship Id="rId19" Type="http://schemas.openxmlformats.org/officeDocument/2006/relationships/hyperlink" Target="mailto:adi@xyz.com" TargetMode="External"/><Relationship Id="rId31" Type="http://schemas.openxmlformats.org/officeDocument/2006/relationships/hyperlink" Target="mailto:ris@xyz.com" TargetMode="External"/><Relationship Id="rId4" Type="http://schemas.openxmlformats.org/officeDocument/2006/relationships/hyperlink" Target="mailto:Deva@mail.com" TargetMode="External"/><Relationship Id="rId9" Type="http://schemas.openxmlformats.org/officeDocument/2006/relationships/hyperlink" Target="mailto:kes@xyz.com" TargetMode="External"/><Relationship Id="rId14" Type="http://schemas.openxmlformats.org/officeDocument/2006/relationships/hyperlink" Target="mailto:sourav@xyz.com" TargetMode="External"/><Relationship Id="rId22" Type="http://schemas.openxmlformats.org/officeDocument/2006/relationships/hyperlink" Target="mailto:Deva@mail.com" TargetMode="External"/><Relationship Id="rId27" Type="http://schemas.openxmlformats.org/officeDocument/2006/relationships/hyperlink" Target="mailto:kes@xyz.com" TargetMode="External"/><Relationship Id="rId30" Type="http://schemas.openxmlformats.org/officeDocument/2006/relationships/hyperlink" Target="mailto:priti@xyz.com" TargetMode="External"/><Relationship Id="rId35" Type="http://schemas.openxmlformats.org/officeDocument/2006/relationships/hyperlink" Target="mailto:tris@mail.com" TargetMode="External"/><Relationship Id="rId8" Type="http://schemas.openxmlformats.org/officeDocument/2006/relationships/hyperlink" Target="mailto:Jun@xyz.com" TargetMode="External"/><Relationship Id="rId3" Type="http://schemas.openxmlformats.org/officeDocument/2006/relationships/hyperlink" Target="mailto:bishnu@mail.%20Com"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8" Type="http://schemas.openxmlformats.org/officeDocument/2006/relationships/hyperlink" Target="mailto:riya@mail.com" TargetMode="External"/><Relationship Id="rId13" Type="http://schemas.openxmlformats.org/officeDocument/2006/relationships/table" Target="../tables/table6.xml"/><Relationship Id="rId3" Type="http://schemas.openxmlformats.org/officeDocument/2006/relationships/hyperlink" Target="mailto:raj@xyz.com" TargetMode="External"/><Relationship Id="rId7" Type="http://schemas.openxmlformats.org/officeDocument/2006/relationships/hyperlink" Target="mailto:arjun@mail.com" TargetMode="External"/><Relationship Id="rId12" Type="http://schemas.openxmlformats.org/officeDocument/2006/relationships/vmlDrawing" Target="../drawings/vmlDrawing4.vml"/><Relationship Id="rId2" Type="http://schemas.openxmlformats.org/officeDocument/2006/relationships/hyperlink" Target="mailto:aditi@mail.com" TargetMode="External"/><Relationship Id="rId1" Type="http://schemas.openxmlformats.org/officeDocument/2006/relationships/hyperlink" Target="mailto:kunal@xyz.com" TargetMode="External"/><Relationship Id="rId6" Type="http://schemas.openxmlformats.org/officeDocument/2006/relationships/hyperlink" Target="mailto:dheer@xyz.com" TargetMode="External"/><Relationship Id="rId11" Type="http://schemas.openxmlformats.org/officeDocument/2006/relationships/drawing" Target="../drawings/drawing5.xml"/><Relationship Id="rId5" Type="http://schemas.openxmlformats.org/officeDocument/2006/relationships/hyperlink" Target="mailto:minal@mail.com" TargetMode="External"/><Relationship Id="rId15" Type="http://schemas.openxmlformats.org/officeDocument/2006/relationships/comments" Target="../comments4.xml"/><Relationship Id="rId10" Type="http://schemas.openxmlformats.org/officeDocument/2006/relationships/hyperlink" Target="mailto:nihar@xyz.com" TargetMode="External"/><Relationship Id="rId4" Type="http://schemas.openxmlformats.org/officeDocument/2006/relationships/hyperlink" Target="mailto:abhi@xyz.com" TargetMode="External"/><Relationship Id="rId9" Type="http://schemas.openxmlformats.org/officeDocument/2006/relationships/hyperlink" Target="mailto:aditya@mail.com" TargetMode="Externa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3E12-4A81-4C8C-9766-A1E5CF728890}">
  <sheetPr>
    <tabColor theme="7"/>
  </sheetPr>
  <dimension ref="A1:D9"/>
  <sheetViews>
    <sheetView zoomScale="155" zoomScaleNormal="155" workbookViewId="0">
      <selection activeCell="G7" sqref="G7"/>
    </sheetView>
  </sheetViews>
  <sheetFormatPr defaultRowHeight="14.4" x14ac:dyDescent="0.3"/>
  <cols>
    <col min="3" max="3" width="9" bestFit="1" customWidth="1"/>
    <col min="4" max="4" width="11.44140625" bestFit="1" customWidth="1"/>
  </cols>
  <sheetData>
    <row r="1" spans="1:4" x14ac:dyDescent="0.3">
      <c r="A1" s="63" t="s">
        <v>25</v>
      </c>
      <c r="B1" s="64"/>
      <c r="C1" s="64"/>
      <c r="D1" s="64"/>
    </row>
    <row r="2" spans="1:4" x14ac:dyDescent="0.3">
      <c r="A2" s="64"/>
      <c r="B2" s="64"/>
      <c r="C2" s="64"/>
      <c r="D2" s="64"/>
    </row>
    <row r="3" spans="1:4" ht="15" customHeight="1" x14ac:dyDescent="0.3">
      <c r="A3" s="65"/>
      <c r="B3" s="65"/>
      <c r="C3" s="65"/>
      <c r="D3" s="65"/>
    </row>
    <row r="4" spans="1:4" x14ac:dyDescent="0.3">
      <c r="A4" s="15" t="s">
        <v>21</v>
      </c>
      <c r="B4" s="16" t="s">
        <v>22</v>
      </c>
      <c r="C4" s="15" t="s">
        <v>23</v>
      </c>
      <c r="D4" s="16" t="s">
        <v>24</v>
      </c>
    </row>
    <row r="5" spans="1:4" x14ac:dyDescent="0.3">
      <c r="A5" s="3">
        <v>1.0333300000000001</v>
      </c>
      <c r="B5" s="11">
        <f>ROUND(A5,0)</f>
        <v>1</v>
      </c>
      <c r="C5" s="12">
        <f>ROUNDUP(A5,0)</f>
        <v>2</v>
      </c>
      <c r="D5" s="13">
        <f>ROUNDDOWN(A5,0)</f>
        <v>1</v>
      </c>
    </row>
    <row r="6" spans="1:4" x14ac:dyDescent="0.3">
      <c r="A6" s="3">
        <v>2.0554999999999999</v>
      </c>
      <c r="B6" s="11">
        <f t="shared" ref="B6:B9" si="0">ROUND(A6,0)</f>
        <v>2</v>
      </c>
      <c r="C6" s="12">
        <f t="shared" ref="C6:C9" si="1">ROUNDUP(A6,0)</f>
        <v>3</v>
      </c>
      <c r="D6" s="13">
        <f t="shared" ref="D6:D9" si="2">ROUNDDOWN(A6,0)</f>
        <v>2</v>
      </c>
    </row>
    <row r="7" spans="1:4" x14ac:dyDescent="0.3">
      <c r="A7" s="3">
        <v>2.9999899999999999</v>
      </c>
      <c r="B7" s="11">
        <f t="shared" si="0"/>
        <v>3</v>
      </c>
      <c r="C7" s="12">
        <f t="shared" si="1"/>
        <v>3</v>
      </c>
      <c r="D7" s="13">
        <f t="shared" si="2"/>
        <v>2</v>
      </c>
    </row>
    <row r="8" spans="1:4" x14ac:dyDescent="0.3">
      <c r="A8" s="3">
        <v>8.9565000000000001</v>
      </c>
      <c r="B8" s="11">
        <f t="shared" si="0"/>
        <v>9</v>
      </c>
      <c r="C8" s="12">
        <f t="shared" si="1"/>
        <v>9</v>
      </c>
      <c r="D8" s="13">
        <f t="shared" si="2"/>
        <v>8</v>
      </c>
    </row>
    <row r="9" spans="1:4" x14ac:dyDescent="0.3">
      <c r="A9" s="14">
        <v>1.333</v>
      </c>
      <c r="B9" s="11">
        <f t="shared" si="0"/>
        <v>1</v>
      </c>
      <c r="C9" s="12">
        <f t="shared" si="1"/>
        <v>2</v>
      </c>
      <c r="D9" s="13">
        <f t="shared" si="2"/>
        <v>1</v>
      </c>
    </row>
  </sheetData>
  <mergeCells count="1">
    <mergeCell ref="A1:D3"/>
  </mergeCells>
  <conditionalFormatting sqref="A4:D9">
    <cfRule type="colorScale" priority="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4E4F4-5280-4AEF-89FB-F5DCF5F2AD6D}">
  <sheetPr>
    <tabColor rgb="FFFFFF00"/>
  </sheetPr>
  <dimension ref="A1:J17"/>
  <sheetViews>
    <sheetView zoomScale="110" zoomScaleNormal="89" workbookViewId="0">
      <selection activeCell="D26" sqref="D26"/>
    </sheetView>
  </sheetViews>
  <sheetFormatPr defaultRowHeight="14.4" x14ac:dyDescent="0.3"/>
  <cols>
    <col min="1" max="1" width="4.88671875" bestFit="1" customWidth="1"/>
    <col min="2" max="3" width="10" customWidth="1"/>
    <col min="4" max="4" width="15.5546875" bestFit="1" customWidth="1"/>
    <col min="10" max="10" width="11.44140625" customWidth="1"/>
  </cols>
  <sheetData>
    <row r="1" spans="1:10" x14ac:dyDescent="0.3">
      <c r="A1" s="66" t="s">
        <v>20</v>
      </c>
      <c r="B1" s="67"/>
      <c r="C1" s="67"/>
      <c r="D1" s="67"/>
      <c r="E1" s="67"/>
      <c r="F1" s="67"/>
      <c r="G1" s="67"/>
      <c r="H1" s="67"/>
      <c r="I1" s="67"/>
      <c r="J1" s="68"/>
    </row>
    <row r="2" spans="1:10" x14ac:dyDescent="0.3">
      <c r="A2" s="69"/>
      <c r="B2" s="70"/>
      <c r="C2" s="70"/>
      <c r="D2" s="70"/>
      <c r="E2" s="70"/>
      <c r="F2" s="70"/>
      <c r="G2" s="70"/>
      <c r="H2" s="70"/>
      <c r="I2" s="70"/>
      <c r="J2" s="71"/>
    </row>
    <row r="3" spans="1:10" ht="15" thickBot="1" x14ac:dyDescent="0.35">
      <c r="A3" s="72"/>
      <c r="B3" s="73"/>
      <c r="C3" s="73"/>
      <c r="D3" s="73"/>
      <c r="E3" s="73"/>
      <c r="F3" s="73"/>
      <c r="G3" s="73"/>
      <c r="H3" s="73"/>
      <c r="I3" s="73"/>
      <c r="J3" s="74"/>
    </row>
    <row r="4" spans="1:10" x14ac:dyDescent="0.3">
      <c r="A4" s="6" t="s">
        <v>0</v>
      </c>
      <c r="B4" s="6" t="s">
        <v>1</v>
      </c>
      <c r="C4" s="6" t="s">
        <v>2</v>
      </c>
      <c r="D4" s="7" t="s">
        <v>3</v>
      </c>
      <c r="E4" s="6" t="s">
        <v>4</v>
      </c>
      <c r="F4" s="6" t="s">
        <v>5</v>
      </c>
      <c r="G4" s="6" t="s">
        <v>6</v>
      </c>
      <c r="H4" s="6" t="s">
        <v>7</v>
      </c>
      <c r="I4" s="6" t="s">
        <v>8</v>
      </c>
      <c r="J4" s="6" t="s">
        <v>9</v>
      </c>
    </row>
    <row r="5" spans="1:10" x14ac:dyDescent="0.3">
      <c r="A5" s="1">
        <v>1</v>
      </c>
      <c r="B5" s="5" t="s">
        <v>10</v>
      </c>
      <c r="C5" s="5" t="s">
        <v>11</v>
      </c>
      <c r="D5" s="2">
        <v>37282</v>
      </c>
      <c r="E5" s="1">
        <v>1000</v>
      </c>
      <c r="F5" s="1">
        <v>1300</v>
      </c>
      <c r="G5" s="1">
        <v>1400</v>
      </c>
      <c r="H5" s="3">
        <f>SUM(E5:G5)</f>
        <v>3700</v>
      </c>
      <c r="I5" s="4">
        <f>AVERAGE(E5:G5)</f>
        <v>1233.3333333333333</v>
      </c>
      <c r="J5" s="3" t="str">
        <f>CONCATENATE(B5," ",C5)</f>
        <v>Raj Kapoor</v>
      </c>
    </row>
    <row r="6" spans="1:10" x14ac:dyDescent="0.3">
      <c r="A6" s="1">
        <v>2</v>
      </c>
      <c r="B6" s="5" t="s">
        <v>12</v>
      </c>
      <c r="C6" s="5" t="s">
        <v>13</v>
      </c>
      <c r="D6" s="2">
        <v>37305</v>
      </c>
      <c r="E6" s="1">
        <v>2000</v>
      </c>
      <c r="F6" s="1">
        <v>2200</v>
      </c>
      <c r="G6" s="1">
        <v>2400</v>
      </c>
      <c r="H6" s="3">
        <f>SUM(E6,F6,G6)</f>
        <v>6600</v>
      </c>
      <c r="I6" s="4">
        <f t="shared" ref="I6:I9" si="0">AVERAGE(E6:G6)</f>
        <v>2200</v>
      </c>
      <c r="J6" s="3" t="str">
        <f>CONCATENATE(B6," ",C6)</f>
        <v>Kunal Kumar</v>
      </c>
    </row>
    <row r="7" spans="1:10" x14ac:dyDescent="0.3">
      <c r="A7" s="1">
        <v>3</v>
      </c>
      <c r="B7" s="5" t="s">
        <v>14</v>
      </c>
      <c r="C7" s="5" t="s">
        <v>15</v>
      </c>
      <c r="D7" s="2">
        <v>36930</v>
      </c>
      <c r="E7" s="1">
        <v>1200</v>
      </c>
      <c r="F7" s="1">
        <v>1300</v>
      </c>
      <c r="G7" s="1">
        <v>1400</v>
      </c>
      <c r="H7" s="3">
        <f>SUM(E7,F7,G7)</f>
        <v>3900</v>
      </c>
      <c r="I7" s="4">
        <f t="shared" si="0"/>
        <v>1300</v>
      </c>
      <c r="J7" s="3" t="str">
        <f>CONCATENATE(B7," ",C7)</f>
        <v>Daniel Bryan</v>
      </c>
    </row>
    <row r="8" spans="1:10" x14ac:dyDescent="0.3">
      <c r="A8" s="1">
        <v>4</v>
      </c>
      <c r="B8" s="5" t="s">
        <v>16</v>
      </c>
      <c r="C8" s="5" t="s">
        <v>17</v>
      </c>
      <c r="D8" s="2">
        <v>38160</v>
      </c>
      <c r="E8" s="1">
        <v>1800</v>
      </c>
      <c r="F8" s="1">
        <v>2000</v>
      </c>
      <c r="G8" s="1">
        <v>2200</v>
      </c>
      <c r="H8" s="3">
        <f>SUM(E8,F8,G8)</f>
        <v>6000</v>
      </c>
      <c r="I8" s="4">
        <f t="shared" si="0"/>
        <v>2000</v>
      </c>
      <c r="J8" s="3" t="str">
        <f>CONCATENATE(B8," ",C8)</f>
        <v>John Batley</v>
      </c>
    </row>
    <row r="9" spans="1:10" x14ac:dyDescent="0.3">
      <c r="A9" s="1">
        <v>5</v>
      </c>
      <c r="B9" s="5" t="s">
        <v>18</v>
      </c>
      <c r="C9" s="5" t="s">
        <v>19</v>
      </c>
      <c r="D9" s="2">
        <v>37088</v>
      </c>
      <c r="E9" s="1">
        <v>1700</v>
      </c>
      <c r="F9" s="1">
        <v>1900</v>
      </c>
      <c r="G9" s="1">
        <v>2200</v>
      </c>
      <c r="H9" s="3">
        <f>SUM(E9,F9,G9)</f>
        <v>5800</v>
      </c>
      <c r="I9" s="4">
        <f t="shared" si="0"/>
        <v>1933.3333333333333</v>
      </c>
      <c r="J9" s="3" t="str">
        <f>CONCATENATE(B9," ",C9)</f>
        <v>Peter Griffin</v>
      </c>
    </row>
    <row r="11" spans="1:10" x14ac:dyDescent="0.3">
      <c r="B11" s="9"/>
      <c r="C11" s="8"/>
      <c r="D11" s="8"/>
      <c r="E11" s="10"/>
    </row>
    <row r="17" spans="5:5" x14ac:dyDescent="0.3">
      <c r="E17" s="8"/>
    </row>
  </sheetData>
  <mergeCells count="1">
    <mergeCell ref="A1:J3"/>
  </mergeCells>
  <conditionalFormatting sqref="H5:H9">
    <cfRule type="colorScale" priority="9">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22312-7FDA-48AD-9CD9-6F82ED70D7ED}">
  <dimension ref="A1:D15"/>
  <sheetViews>
    <sheetView workbookViewId="0">
      <selection activeCell="G9" sqref="G9"/>
    </sheetView>
  </sheetViews>
  <sheetFormatPr defaultRowHeight="14.4" x14ac:dyDescent="0.3"/>
  <sheetData>
    <row r="1" spans="1:4" ht="18" x14ac:dyDescent="0.3">
      <c r="A1" s="23" t="s">
        <v>49</v>
      </c>
      <c r="B1" s="24"/>
      <c r="C1" s="24"/>
      <c r="D1" s="23"/>
    </row>
    <row r="2" spans="1:4" ht="18" x14ac:dyDescent="0.35">
      <c r="A2" s="22"/>
      <c r="B2" s="22"/>
      <c r="C2" s="22"/>
      <c r="D2" s="22"/>
    </row>
    <row r="3" spans="1:4" x14ac:dyDescent="0.3">
      <c r="A3" s="19" t="s">
        <v>26</v>
      </c>
      <c r="B3" s="17" t="s">
        <v>27</v>
      </c>
      <c r="C3" s="20" t="s">
        <v>28</v>
      </c>
      <c r="D3" s="18" t="s">
        <v>41</v>
      </c>
    </row>
    <row r="4" spans="1:4" x14ac:dyDescent="0.3">
      <c r="A4" s="1">
        <v>1</v>
      </c>
      <c r="B4" s="1" t="s">
        <v>29</v>
      </c>
      <c r="C4" s="1">
        <v>2001</v>
      </c>
      <c r="D4" s="1" t="s">
        <v>42</v>
      </c>
    </row>
    <row r="5" spans="1:4" x14ac:dyDescent="0.3">
      <c r="A5" s="1">
        <v>2</v>
      </c>
      <c r="B5" s="1" t="s">
        <v>30</v>
      </c>
      <c r="C5" s="1">
        <v>2002</v>
      </c>
      <c r="D5" s="1" t="s">
        <v>43</v>
      </c>
    </row>
    <row r="6" spans="1:4" x14ac:dyDescent="0.3">
      <c r="A6" s="1">
        <v>3</v>
      </c>
      <c r="B6" s="1" t="s">
        <v>31</v>
      </c>
      <c r="C6" s="1">
        <v>2003</v>
      </c>
      <c r="D6" s="1" t="s">
        <v>44</v>
      </c>
    </row>
    <row r="7" spans="1:4" x14ac:dyDescent="0.3">
      <c r="A7" s="1">
        <v>4</v>
      </c>
      <c r="B7" s="1" t="s">
        <v>32</v>
      </c>
      <c r="C7" s="1">
        <v>2004</v>
      </c>
      <c r="D7" s="1" t="s">
        <v>45</v>
      </c>
    </row>
    <row r="8" spans="1:4" x14ac:dyDescent="0.3">
      <c r="A8" s="1">
        <v>5</v>
      </c>
      <c r="B8" s="1" t="s">
        <v>33</v>
      </c>
      <c r="C8" s="1">
        <v>2005</v>
      </c>
      <c r="D8" s="1" t="s">
        <v>46</v>
      </c>
    </row>
    <row r="9" spans="1:4" x14ac:dyDescent="0.3">
      <c r="A9" s="1">
        <v>6</v>
      </c>
      <c r="B9" s="1" t="s">
        <v>34</v>
      </c>
      <c r="C9" s="1">
        <v>2006</v>
      </c>
      <c r="D9" s="1" t="s">
        <v>47</v>
      </c>
    </row>
    <row r="10" spans="1:4" x14ac:dyDescent="0.3">
      <c r="A10" s="1">
        <v>7</v>
      </c>
      <c r="B10" s="1" t="s">
        <v>35</v>
      </c>
      <c r="C10" s="1">
        <v>2007</v>
      </c>
      <c r="D10" s="1" t="s">
        <v>48</v>
      </c>
    </row>
    <row r="11" spans="1:4" x14ac:dyDescent="0.3">
      <c r="A11" s="1">
        <v>8</v>
      </c>
      <c r="B11" s="1" t="s">
        <v>36</v>
      </c>
      <c r="C11" s="1">
        <v>2008</v>
      </c>
      <c r="D11" s="1" t="s">
        <v>42</v>
      </c>
    </row>
    <row r="12" spans="1:4" x14ac:dyDescent="0.3">
      <c r="A12" s="1">
        <v>9</v>
      </c>
      <c r="B12" s="1" t="s">
        <v>37</v>
      </c>
      <c r="C12" s="1">
        <v>2009</v>
      </c>
      <c r="D12" s="1" t="s">
        <v>43</v>
      </c>
    </row>
    <row r="13" spans="1:4" x14ac:dyDescent="0.3">
      <c r="A13" s="1">
        <v>10</v>
      </c>
      <c r="B13" s="1" t="s">
        <v>38</v>
      </c>
      <c r="C13" s="1">
        <v>2010</v>
      </c>
      <c r="D13" s="1" t="s">
        <v>44</v>
      </c>
    </row>
    <row r="14" spans="1:4" x14ac:dyDescent="0.3">
      <c r="A14" s="1">
        <v>11</v>
      </c>
      <c r="B14" s="1" t="s">
        <v>39</v>
      </c>
      <c r="C14" s="1">
        <v>2011</v>
      </c>
      <c r="D14" s="1" t="s">
        <v>45</v>
      </c>
    </row>
    <row r="15" spans="1:4" x14ac:dyDescent="0.3">
      <c r="A15" s="1">
        <v>12</v>
      </c>
      <c r="B15" s="1" t="s">
        <v>40</v>
      </c>
      <c r="C15" s="1">
        <v>2012</v>
      </c>
      <c r="D15" s="1" t="s">
        <v>46</v>
      </c>
    </row>
  </sheetData>
  <phoneticPr fontId="6" type="noConversion"/>
  <conditionalFormatting sqref="A4:D15">
    <cfRule type="iconSet" priority="1">
      <iconSet>
        <cfvo type="percent" val="0"/>
        <cfvo type="percent" val="33"/>
        <cfvo type="percent" val="67"/>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F1A04-5077-4AAB-AC7B-B949F810DCC8}">
  <sheetPr>
    <tabColor theme="5" tint="0.59999389629810485"/>
  </sheetPr>
  <dimension ref="A1:Q22"/>
  <sheetViews>
    <sheetView tabSelected="1" zoomScaleNormal="100" workbookViewId="0">
      <selection activeCell="P4" sqref="P4"/>
    </sheetView>
  </sheetViews>
  <sheetFormatPr defaultRowHeight="14.4" x14ac:dyDescent="0.3"/>
  <cols>
    <col min="1" max="1" width="10.77734375" customWidth="1"/>
    <col min="2" max="2" width="9.44140625" customWidth="1"/>
    <col min="3" max="3" width="6.109375" customWidth="1"/>
    <col min="5" max="5" width="8.109375" customWidth="1"/>
    <col min="6" max="7" width="11.77734375" customWidth="1"/>
    <col min="8" max="8" width="10.88671875" customWidth="1"/>
    <col min="9" max="9" width="17.6640625" customWidth="1"/>
  </cols>
  <sheetData>
    <row r="1" spans="1:17" x14ac:dyDescent="0.3">
      <c r="A1" s="33"/>
      <c r="B1" s="33"/>
      <c r="C1" s="33"/>
      <c r="D1" s="33"/>
      <c r="E1" s="33"/>
      <c r="F1" s="33"/>
      <c r="G1" s="33"/>
      <c r="H1" s="33"/>
      <c r="I1" s="33"/>
    </row>
    <row r="2" spans="1:17" x14ac:dyDescent="0.3">
      <c r="A2" s="33"/>
      <c r="B2" s="33"/>
      <c r="C2" s="33"/>
      <c r="D2" s="33"/>
      <c r="E2" s="33"/>
      <c r="F2" s="33"/>
      <c r="G2" s="33"/>
      <c r="H2" s="33"/>
      <c r="I2" s="33"/>
    </row>
    <row r="3" spans="1:17" ht="18" x14ac:dyDescent="0.35">
      <c r="A3" s="33"/>
      <c r="B3" s="34" t="s">
        <v>101</v>
      </c>
      <c r="C3" s="34"/>
      <c r="D3" s="35"/>
      <c r="E3" s="33"/>
      <c r="F3" s="33"/>
      <c r="G3" s="33"/>
      <c r="H3" s="33"/>
      <c r="I3" s="33"/>
    </row>
    <row r="4" spans="1:17" x14ac:dyDescent="0.3">
      <c r="A4" s="37" t="s">
        <v>50</v>
      </c>
      <c r="B4" s="25" t="s">
        <v>51</v>
      </c>
      <c r="C4" s="25" t="s">
        <v>52</v>
      </c>
      <c r="D4" s="25" t="s">
        <v>53</v>
      </c>
      <c r="E4" s="25" t="s">
        <v>58</v>
      </c>
      <c r="F4" s="25" t="s">
        <v>54</v>
      </c>
      <c r="G4" s="25" t="s">
        <v>55</v>
      </c>
      <c r="H4" s="25" t="s">
        <v>56</v>
      </c>
      <c r="I4" s="26" t="s">
        <v>57</v>
      </c>
      <c r="P4" s="41"/>
      <c r="Q4" s="41"/>
    </row>
    <row r="5" spans="1:17" x14ac:dyDescent="0.3">
      <c r="A5" s="27" t="s">
        <v>64</v>
      </c>
      <c r="B5" s="28" t="s">
        <v>77</v>
      </c>
      <c r="C5" s="28">
        <v>14</v>
      </c>
      <c r="D5" s="28">
        <v>8</v>
      </c>
      <c r="E5" s="28" t="s">
        <v>80</v>
      </c>
      <c r="F5" s="28">
        <v>90</v>
      </c>
      <c r="G5" s="28">
        <v>94</v>
      </c>
      <c r="H5" s="28">
        <v>97</v>
      </c>
      <c r="I5" s="29" t="s">
        <v>88</v>
      </c>
      <c r="P5" s="3"/>
      <c r="Q5" s="3"/>
    </row>
    <row r="6" spans="1:17" x14ac:dyDescent="0.3">
      <c r="A6" s="27" t="s">
        <v>67</v>
      </c>
      <c r="B6" s="28" t="s">
        <v>77</v>
      </c>
      <c r="C6" s="28">
        <v>14</v>
      </c>
      <c r="D6" s="28">
        <v>8</v>
      </c>
      <c r="E6" s="28" t="s">
        <v>79</v>
      </c>
      <c r="F6" s="28">
        <v>90</v>
      </c>
      <c r="G6" s="28">
        <v>93</v>
      </c>
      <c r="H6" s="28">
        <v>94</v>
      </c>
      <c r="I6" s="29" t="s">
        <v>90</v>
      </c>
      <c r="P6" s="3"/>
      <c r="Q6" s="3"/>
    </row>
    <row r="7" spans="1:17" x14ac:dyDescent="0.3">
      <c r="A7" s="27" t="s">
        <v>72</v>
      </c>
      <c r="B7" s="28" t="s">
        <v>77</v>
      </c>
      <c r="C7" s="28">
        <v>14</v>
      </c>
      <c r="D7" s="28">
        <v>8</v>
      </c>
      <c r="E7" s="28" t="s">
        <v>80</v>
      </c>
      <c r="F7" s="28">
        <v>70</v>
      </c>
      <c r="G7" s="28">
        <v>87</v>
      </c>
      <c r="H7" s="28">
        <v>86</v>
      </c>
      <c r="I7" s="29" t="s">
        <v>96</v>
      </c>
      <c r="P7" s="3"/>
      <c r="Q7" s="3"/>
    </row>
    <row r="8" spans="1:17" x14ac:dyDescent="0.3">
      <c r="A8" s="27" t="s">
        <v>60</v>
      </c>
      <c r="B8" s="28" t="s">
        <v>77</v>
      </c>
      <c r="C8" s="28">
        <v>14</v>
      </c>
      <c r="D8" s="28">
        <v>8</v>
      </c>
      <c r="E8" s="28" t="s">
        <v>80</v>
      </c>
      <c r="F8" s="28">
        <v>82</v>
      </c>
      <c r="G8" s="28">
        <v>78</v>
      </c>
      <c r="H8" s="28">
        <v>86</v>
      </c>
      <c r="I8" s="29" t="s">
        <v>84</v>
      </c>
      <c r="P8" s="3"/>
      <c r="Q8" s="3"/>
    </row>
    <row r="9" spans="1:17" hidden="1" x14ac:dyDescent="0.3">
      <c r="A9" s="27" t="s">
        <v>75</v>
      </c>
      <c r="B9" s="28" t="s">
        <v>78</v>
      </c>
      <c r="C9" s="28">
        <v>14</v>
      </c>
      <c r="D9" s="28">
        <v>8</v>
      </c>
      <c r="E9" s="28" t="s">
        <v>79</v>
      </c>
      <c r="F9" s="28">
        <v>80</v>
      </c>
      <c r="G9" s="28">
        <v>84</v>
      </c>
      <c r="H9" s="28">
        <v>81</v>
      </c>
      <c r="I9" s="29" t="s">
        <v>99</v>
      </c>
    </row>
    <row r="10" spans="1:17" hidden="1" x14ac:dyDescent="0.3">
      <c r="A10" s="27" t="s">
        <v>69</v>
      </c>
      <c r="B10" s="28" t="s">
        <v>78</v>
      </c>
      <c r="C10" s="28">
        <v>15</v>
      </c>
      <c r="D10" s="28">
        <v>9</v>
      </c>
      <c r="E10" s="28" t="s">
        <v>82</v>
      </c>
      <c r="F10" s="28">
        <v>99</v>
      </c>
      <c r="G10" s="28">
        <v>92</v>
      </c>
      <c r="H10" s="28">
        <v>96</v>
      </c>
      <c r="I10" s="29" t="s">
        <v>93</v>
      </c>
    </row>
    <row r="11" spans="1:17" hidden="1" x14ac:dyDescent="0.3">
      <c r="A11" s="27" t="s">
        <v>71</v>
      </c>
      <c r="B11" s="28" t="s">
        <v>78</v>
      </c>
      <c r="C11" s="28">
        <v>15</v>
      </c>
      <c r="D11" s="28">
        <v>9</v>
      </c>
      <c r="E11" s="28" t="s">
        <v>79</v>
      </c>
      <c r="F11" s="28">
        <v>93</v>
      </c>
      <c r="G11" s="28">
        <v>87</v>
      </c>
      <c r="H11" s="28">
        <v>95</v>
      </c>
      <c r="I11" s="29" t="s">
        <v>95</v>
      </c>
    </row>
    <row r="12" spans="1:17" x14ac:dyDescent="0.3">
      <c r="A12" s="27" t="s">
        <v>59</v>
      </c>
      <c r="B12" s="28" t="s">
        <v>77</v>
      </c>
      <c r="C12" s="28">
        <v>15</v>
      </c>
      <c r="D12" s="28">
        <v>9</v>
      </c>
      <c r="E12" s="28" t="s">
        <v>79</v>
      </c>
      <c r="F12" s="28">
        <v>86</v>
      </c>
      <c r="G12" s="28">
        <v>88</v>
      </c>
      <c r="H12" s="28">
        <v>95</v>
      </c>
      <c r="I12" s="29" t="s">
        <v>83</v>
      </c>
    </row>
    <row r="13" spans="1:17" x14ac:dyDescent="0.3">
      <c r="A13" s="27" t="s">
        <v>62</v>
      </c>
      <c r="B13" s="28" t="s">
        <v>77</v>
      </c>
      <c r="C13" s="28">
        <v>15</v>
      </c>
      <c r="D13" s="28">
        <v>9</v>
      </c>
      <c r="E13" s="28" t="s">
        <v>81</v>
      </c>
      <c r="F13" s="28">
        <v>87</v>
      </c>
      <c r="G13" s="28">
        <v>85</v>
      </c>
      <c r="H13" s="28">
        <v>90</v>
      </c>
      <c r="I13" s="29" t="s">
        <v>86</v>
      </c>
    </row>
    <row r="14" spans="1:17" hidden="1" x14ac:dyDescent="0.3">
      <c r="A14" s="27" t="s">
        <v>76</v>
      </c>
      <c r="B14" s="28" t="s">
        <v>78</v>
      </c>
      <c r="C14" s="28">
        <v>15</v>
      </c>
      <c r="D14" s="28">
        <v>9</v>
      </c>
      <c r="E14" s="28" t="s">
        <v>80</v>
      </c>
      <c r="F14" s="28">
        <v>89</v>
      </c>
      <c r="G14" s="28">
        <v>79</v>
      </c>
      <c r="H14" s="28">
        <v>83</v>
      </c>
      <c r="I14" s="29" t="s">
        <v>100</v>
      </c>
    </row>
    <row r="15" spans="1:17" x14ac:dyDescent="0.3">
      <c r="A15" s="27" t="s">
        <v>66</v>
      </c>
      <c r="B15" s="28" t="s">
        <v>77</v>
      </c>
      <c r="C15" s="28">
        <v>15</v>
      </c>
      <c r="D15" s="28">
        <v>9</v>
      </c>
      <c r="E15" s="28" t="s">
        <v>81</v>
      </c>
      <c r="F15" s="28">
        <v>78</v>
      </c>
      <c r="G15" s="28">
        <v>83</v>
      </c>
      <c r="H15" s="28">
        <v>82</v>
      </c>
      <c r="I15" s="29" t="s">
        <v>91</v>
      </c>
    </row>
    <row r="16" spans="1:17" x14ac:dyDescent="0.3">
      <c r="A16" s="27" t="s">
        <v>65</v>
      </c>
      <c r="B16" s="28" t="s">
        <v>77</v>
      </c>
      <c r="C16" s="28">
        <v>16</v>
      </c>
      <c r="D16" s="28">
        <v>10</v>
      </c>
      <c r="E16" s="28" t="s">
        <v>82</v>
      </c>
      <c r="F16" s="28">
        <v>85</v>
      </c>
      <c r="G16" s="28">
        <v>80</v>
      </c>
      <c r="H16" s="28">
        <v>84</v>
      </c>
      <c r="I16" s="29" t="s">
        <v>89</v>
      </c>
    </row>
    <row r="17" spans="1:9" hidden="1" x14ac:dyDescent="0.3">
      <c r="A17" s="27" t="s">
        <v>70</v>
      </c>
      <c r="B17" s="28" t="s">
        <v>78</v>
      </c>
      <c r="C17" s="28">
        <v>16</v>
      </c>
      <c r="D17" s="28">
        <v>10</v>
      </c>
      <c r="E17" s="28" t="s">
        <v>81</v>
      </c>
      <c r="F17" s="28">
        <v>79</v>
      </c>
      <c r="G17" s="28">
        <v>87</v>
      </c>
      <c r="H17" s="28">
        <v>83</v>
      </c>
      <c r="I17" s="29" t="s">
        <v>94</v>
      </c>
    </row>
    <row r="18" spans="1:9" x14ac:dyDescent="0.3">
      <c r="A18" s="27" t="s">
        <v>61</v>
      </c>
      <c r="B18" s="28" t="s">
        <v>77</v>
      </c>
      <c r="C18" s="28">
        <v>16</v>
      </c>
      <c r="D18" s="28">
        <v>10</v>
      </c>
      <c r="E18" s="28" t="s">
        <v>82</v>
      </c>
      <c r="F18" s="28">
        <v>80</v>
      </c>
      <c r="G18" s="28">
        <v>79</v>
      </c>
      <c r="H18" s="28">
        <v>80</v>
      </c>
      <c r="I18" s="29" t="s">
        <v>85</v>
      </c>
    </row>
    <row r="19" spans="1:9" hidden="1" x14ac:dyDescent="0.3">
      <c r="A19" s="27" t="s">
        <v>73</v>
      </c>
      <c r="B19" s="28" t="s">
        <v>78</v>
      </c>
      <c r="C19" s="28">
        <v>16</v>
      </c>
      <c r="D19" s="28">
        <v>10</v>
      </c>
      <c r="E19" s="28" t="s">
        <v>82</v>
      </c>
      <c r="F19" s="28">
        <v>78</v>
      </c>
      <c r="G19" s="28">
        <v>76</v>
      </c>
      <c r="H19" s="28">
        <v>77</v>
      </c>
      <c r="I19" s="29" t="s">
        <v>97</v>
      </c>
    </row>
    <row r="20" spans="1:9" x14ac:dyDescent="0.3">
      <c r="A20" s="27" t="s">
        <v>68</v>
      </c>
      <c r="B20" s="28" t="s">
        <v>77</v>
      </c>
      <c r="C20" s="28">
        <v>17</v>
      </c>
      <c r="D20" s="28">
        <v>10</v>
      </c>
      <c r="E20" s="28" t="s">
        <v>80</v>
      </c>
      <c r="F20" s="28">
        <v>88</v>
      </c>
      <c r="G20" s="28">
        <v>80</v>
      </c>
      <c r="H20" s="28">
        <v>85</v>
      </c>
      <c r="I20" s="29" t="s">
        <v>92</v>
      </c>
    </row>
    <row r="21" spans="1:9" x14ac:dyDescent="0.3">
      <c r="A21" s="27" t="s">
        <v>63</v>
      </c>
      <c r="B21" s="28" t="s">
        <v>77</v>
      </c>
      <c r="C21" s="28">
        <v>17</v>
      </c>
      <c r="D21" s="28">
        <v>10</v>
      </c>
      <c r="E21" s="28" t="s">
        <v>79</v>
      </c>
      <c r="F21" s="28">
        <v>86</v>
      </c>
      <c r="G21" s="28">
        <v>84</v>
      </c>
      <c r="H21" s="28">
        <v>83</v>
      </c>
      <c r="I21" s="29" t="s">
        <v>87</v>
      </c>
    </row>
    <row r="22" spans="1:9" x14ac:dyDescent="0.3">
      <c r="A22" s="30" t="s">
        <v>74</v>
      </c>
      <c r="B22" s="31" t="s">
        <v>77</v>
      </c>
      <c r="C22" s="31">
        <v>17</v>
      </c>
      <c r="D22" s="31">
        <v>10</v>
      </c>
      <c r="E22" s="31" t="s">
        <v>81</v>
      </c>
      <c r="F22" s="31">
        <v>79</v>
      </c>
      <c r="G22" s="31">
        <v>80</v>
      </c>
      <c r="H22" s="31">
        <v>79</v>
      </c>
      <c r="I22" s="32" t="s">
        <v>98</v>
      </c>
    </row>
  </sheetData>
  <sortState xmlns:xlrd2="http://schemas.microsoft.com/office/spreadsheetml/2017/richdata2" ref="A5:I22">
    <sortCondition descending="1" ref="H5:H22"/>
  </sortState>
  <conditionalFormatting sqref="H4:H22">
    <cfRule type="colorScale" priority="3">
      <colorScale>
        <cfvo type="min"/>
        <cfvo type="percentile" val="50"/>
        <cfvo type="max"/>
        <color rgb="FFF8696B"/>
        <color rgb="FFFFEB84"/>
        <color rgb="FF63BE7B"/>
      </colorScale>
    </cfRule>
  </conditionalFormatting>
  <conditionalFormatting sqref="I4:I22">
    <cfRule type="iconSet" priority="2">
      <iconSet iconSet="3Symbols2">
        <cfvo type="percent" val="0"/>
        <cfvo type="percent" val="33"/>
        <cfvo type="percent" val="67"/>
      </iconSet>
    </cfRule>
  </conditionalFormatting>
  <hyperlinks>
    <hyperlink ref="I12" r:id="rId1" xr:uid="{B67BFF5E-B815-4F87-A2E0-6B3873915360}"/>
    <hyperlink ref="I8" r:id="rId2" xr:uid="{8BB244E4-F93D-481C-8C0E-2E1876EBF357}"/>
    <hyperlink ref="I18" r:id="rId3" xr:uid="{36FDCB57-A92A-4E80-BF2F-8A0E701A187F}"/>
    <hyperlink ref="I13" r:id="rId4" xr:uid="{03C89B70-08DA-4337-93B9-91BCF6305A62}"/>
    <hyperlink ref="I21" r:id="rId5" xr:uid="{677D8406-1809-4023-BC3A-B021E0C29275}"/>
    <hyperlink ref="I5" r:id="rId6" xr:uid="{A9C38973-5B20-4567-B138-488EBCC8ACB1}"/>
    <hyperlink ref="I16" r:id="rId7" xr:uid="{8B4E4480-49E4-4A4F-A49C-FFF1F4F3EF08}"/>
    <hyperlink ref="I15" r:id="rId8" xr:uid="{CCDD0705-E6F6-4D4C-A0FF-48787CA069AD}"/>
    <hyperlink ref="I6" r:id="rId9" xr:uid="{5A909A8E-CA44-4D45-860C-5E852C259FFE}"/>
    <hyperlink ref="I20" r:id="rId10" xr:uid="{A1CC13FC-992C-460D-B563-757AE43EAD30}"/>
    <hyperlink ref="I10" r:id="rId11" xr:uid="{6177D32A-73FC-4E1F-9DAC-C25E1A7E0723}"/>
    <hyperlink ref="I17" r:id="rId12" xr:uid="{BA3AF0A7-63BA-4A25-A0DF-3B0E7EB450D7}"/>
    <hyperlink ref="I11" r:id="rId13" xr:uid="{E33C2FF2-FDA9-4338-8A48-002060E975F5}"/>
    <hyperlink ref="I7" r:id="rId14" xr:uid="{DD356E08-894E-4B07-ABB4-6E7DDC60A9D6}"/>
    <hyperlink ref="I19" r:id="rId15" xr:uid="{EC8DDF8F-C02D-4AA3-BF6D-F5252F648113}"/>
    <hyperlink ref="I22" r:id="rId16" xr:uid="{233C399C-B884-4A50-B674-97D86A917E01}"/>
    <hyperlink ref="I9" r:id="rId17" xr:uid="{6E4BB2F9-BAEA-4FE8-AE7E-8390585DBECA}"/>
    <hyperlink ref="I14" r:id="rId18" xr:uid="{6FDA9246-3E0B-44EC-A7AA-DB3A942923AF}"/>
    <hyperlink ref="A4" location="Names!A1" display="Name" xr:uid="{F328AEAB-6A7E-4FE8-A237-5A358577298F}"/>
  </hyperlinks>
  <pageMargins left="0.7" right="0.7" top="0.75" bottom="0.75" header="0.3" footer="0.3"/>
  <drawing r:id="rId19"/>
  <legacyDrawing r:id="rId20"/>
  <tableParts count="1">
    <tablePart r:id="rId21"/>
  </tableParts>
  <extLst>
    <ext xmlns:x14="http://schemas.microsoft.com/office/spreadsheetml/2009/9/main" uri="{78C0D931-6437-407d-A8EE-F0AAD7539E65}">
      <x14:conditionalFormattings>
        <x14:conditionalFormatting xmlns:xm="http://schemas.microsoft.com/office/excel/2006/main">
          <x14:cfRule type="iconSet" priority="1" id="{1EA06EEC-4F26-456C-984D-CF248299B331}">
            <x14:iconSet iconSet="3Triangles">
              <x14:cfvo type="percent">
                <xm:f>0</xm:f>
              </x14:cfvo>
              <x14:cfvo type="percent">
                <xm:f>33</xm:f>
              </x14:cfvo>
              <x14:cfvo type="percent">
                <xm:f>67</xm:f>
              </x14:cfvo>
            </x14:iconSet>
          </x14:cfRule>
          <xm:sqref>H5:H22</xm:sqref>
        </x14:conditionalFormatting>
      </x14:conditionalFormattings>
    </ext>
    <ext xmlns:x15="http://schemas.microsoft.com/office/spreadsheetml/2010/11/main" uri="{3A4CF648-6AED-40f4-86FF-DC5316D8AED3}">
      <x14:slicerList xmlns:x14="http://schemas.microsoft.com/office/spreadsheetml/2009/9/main">
        <x14:slicer r:id="rId2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15B74-BE94-4ED2-A89B-E798C058B6CE}">
  <dimension ref="A3:B24"/>
  <sheetViews>
    <sheetView workbookViewId="0">
      <selection activeCell="A3" sqref="A3"/>
    </sheetView>
  </sheetViews>
  <sheetFormatPr defaultRowHeight="14.4" x14ac:dyDescent="0.3"/>
  <cols>
    <col min="1" max="1" width="16.5546875" bestFit="1" customWidth="1"/>
    <col min="2" max="2" width="16.109375" bestFit="1" customWidth="1"/>
    <col min="3" max="3" width="17" bestFit="1" customWidth="1"/>
  </cols>
  <sheetData>
    <row r="3" spans="1:2" x14ac:dyDescent="0.3">
      <c r="A3" s="44" t="s">
        <v>154</v>
      </c>
      <c r="B3" t="s">
        <v>155</v>
      </c>
    </row>
    <row r="4" spans="1:2" x14ac:dyDescent="0.3">
      <c r="A4" s="54" t="s">
        <v>145</v>
      </c>
      <c r="B4">
        <v>90</v>
      </c>
    </row>
    <row r="5" spans="1:2" x14ac:dyDescent="0.3">
      <c r="A5" s="55" t="s">
        <v>131</v>
      </c>
      <c r="B5">
        <v>90</v>
      </c>
    </row>
    <row r="6" spans="1:2" x14ac:dyDescent="0.3">
      <c r="A6" s="54" t="s">
        <v>83</v>
      </c>
      <c r="B6">
        <v>92</v>
      </c>
    </row>
    <row r="7" spans="1:2" x14ac:dyDescent="0.3">
      <c r="A7" s="55" t="s">
        <v>144</v>
      </c>
      <c r="B7">
        <v>92</v>
      </c>
    </row>
    <row r="8" spans="1:2" x14ac:dyDescent="0.3">
      <c r="A8" s="54" t="s">
        <v>149</v>
      </c>
      <c r="B8">
        <v>93</v>
      </c>
    </row>
    <row r="9" spans="1:2" x14ac:dyDescent="0.3">
      <c r="A9" s="55" t="s">
        <v>138</v>
      </c>
      <c r="B9">
        <v>93</v>
      </c>
    </row>
    <row r="10" spans="1:2" x14ac:dyDescent="0.3">
      <c r="A10" s="54" t="s">
        <v>150</v>
      </c>
      <c r="B10">
        <v>87</v>
      </c>
    </row>
    <row r="11" spans="1:2" x14ac:dyDescent="0.3">
      <c r="A11" s="55" t="s">
        <v>140</v>
      </c>
      <c r="B11">
        <v>87</v>
      </c>
    </row>
    <row r="12" spans="1:2" x14ac:dyDescent="0.3">
      <c r="A12" s="54" t="s">
        <v>152</v>
      </c>
      <c r="B12">
        <v>90</v>
      </c>
    </row>
    <row r="13" spans="1:2" x14ac:dyDescent="0.3">
      <c r="A13" s="55" t="s">
        <v>12</v>
      </c>
      <c r="B13">
        <v>90</v>
      </c>
    </row>
    <row r="14" spans="1:2" x14ac:dyDescent="0.3">
      <c r="A14" s="54" t="s">
        <v>146</v>
      </c>
      <c r="B14">
        <v>89</v>
      </c>
    </row>
    <row r="15" spans="1:2" x14ac:dyDescent="0.3">
      <c r="A15" s="55" t="s">
        <v>132</v>
      </c>
      <c r="B15">
        <v>89</v>
      </c>
    </row>
    <row r="16" spans="1:2" x14ac:dyDescent="0.3">
      <c r="A16" s="54" t="s">
        <v>153</v>
      </c>
      <c r="B16">
        <v>98</v>
      </c>
    </row>
    <row r="17" spans="1:2" x14ac:dyDescent="0.3">
      <c r="A17" s="55" t="s">
        <v>136</v>
      </c>
      <c r="B17">
        <v>98</v>
      </c>
    </row>
    <row r="18" spans="1:2" x14ac:dyDescent="0.3">
      <c r="A18" s="54" t="s">
        <v>148</v>
      </c>
      <c r="B18">
        <v>88</v>
      </c>
    </row>
    <row r="19" spans="1:2" x14ac:dyDescent="0.3">
      <c r="A19" s="55" t="s">
        <v>134</v>
      </c>
      <c r="B19">
        <v>88</v>
      </c>
    </row>
    <row r="20" spans="1:2" x14ac:dyDescent="0.3">
      <c r="A20" s="54" t="s">
        <v>151</v>
      </c>
      <c r="B20">
        <v>86</v>
      </c>
    </row>
    <row r="21" spans="1:2" x14ac:dyDescent="0.3">
      <c r="A21" s="55" t="s">
        <v>141</v>
      </c>
      <c r="B21">
        <v>86</v>
      </c>
    </row>
    <row r="22" spans="1:2" x14ac:dyDescent="0.3">
      <c r="A22" s="54" t="s">
        <v>147</v>
      </c>
      <c r="B22">
        <v>91</v>
      </c>
    </row>
    <row r="23" spans="1:2" x14ac:dyDescent="0.3">
      <c r="A23" s="55" t="s">
        <v>143</v>
      </c>
      <c r="B23">
        <v>91</v>
      </c>
    </row>
    <row r="24" spans="1:2" x14ac:dyDescent="0.3">
      <c r="A24" s="54" t="s">
        <v>122</v>
      </c>
      <c r="B24">
        <v>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D16E-D113-4B33-98CD-78EF27E6AC81}">
  <dimension ref="A1:I11"/>
  <sheetViews>
    <sheetView workbookViewId="0">
      <selection activeCell="G9" sqref="G9"/>
    </sheetView>
  </sheetViews>
  <sheetFormatPr defaultRowHeight="14.4" x14ac:dyDescent="0.3"/>
  <cols>
    <col min="1" max="1" width="8.109375" customWidth="1"/>
    <col min="2" max="2" width="12.5546875" customWidth="1"/>
    <col min="3" max="3" width="12.88671875" customWidth="1"/>
    <col min="4" max="4" width="9" customWidth="1"/>
    <col min="5" max="5" width="8.109375" customWidth="1"/>
    <col min="6" max="6" width="13.5546875" customWidth="1"/>
    <col min="7" max="7" width="13.6640625" customWidth="1"/>
    <col min="8" max="8" width="14.44140625" customWidth="1"/>
    <col min="9" max="9" width="21.77734375" customWidth="1"/>
  </cols>
  <sheetData>
    <row r="1" spans="1:9" x14ac:dyDescent="0.3">
      <c r="A1" s="47" t="s">
        <v>125</v>
      </c>
      <c r="B1" s="48" t="s">
        <v>1</v>
      </c>
      <c r="C1" s="48" t="s">
        <v>126</v>
      </c>
      <c r="D1" s="48" t="s">
        <v>51</v>
      </c>
      <c r="E1" s="48" t="s">
        <v>58</v>
      </c>
      <c r="F1" s="48" t="s">
        <v>127</v>
      </c>
      <c r="G1" s="48" t="s">
        <v>128</v>
      </c>
      <c r="H1" s="48" t="s">
        <v>129</v>
      </c>
      <c r="I1" s="49" t="s">
        <v>130</v>
      </c>
    </row>
    <row r="2" spans="1:9" x14ac:dyDescent="0.3">
      <c r="A2" s="46">
        <v>1</v>
      </c>
      <c r="B2" s="1" t="s">
        <v>131</v>
      </c>
      <c r="C2" s="1" t="s">
        <v>13</v>
      </c>
      <c r="D2" s="1" t="s">
        <v>77</v>
      </c>
      <c r="E2" s="1" t="s">
        <v>79</v>
      </c>
      <c r="F2" s="1">
        <v>90</v>
      </c>
      <c r="G2" s="1">
        <v>95</v>
      </c>
      <c r="H2" s="1">
        <v>97</v>
      </c>
      <c r="I2" s="52" t="s">
        <v>145</v>
      </c>
    </row>
    <row r="3" spans="1:9" x14ac:dyDescent="0.3">
      <c r="A3" s="46">
        <v>2</v>
      </c>
      <c r="B3" s="1" t="s">
        <v>132</v>
      </c>
      <c r="C3" s="1" t="s">
        <v>133</v>
      </c>
      <c r="D3" s="1" t="s">
        <v>77</v>
      </c>
      <c r="E3" s="1" t="s">
        <v>80</v>
      </c>
      <c r="F3" s="1">
        <v>89</v>
      </c>
      <c r="G3" s="1">
        <v>94</v>
      </c>
      <c r="H3" s="1">
        <v>90</v>
      </c>
      <c r="I3" s="52" t="s">
        <v>146</v>
      </c>
    </row>
    <row r="4" spans="1:9" x14ac:dyDescent="0.3">
      <c r="A4" s="46">
        <v>3</v>
      </c>
      <c r="B4" s="1" t="s">
        <v>134</v>
      </c>
      <c r="C4" s="1" t="s">
        <v>135</v>
      </c>
      <c r="D4" s="1" t="s">
        <v>77</v>
      </c>
      <c r="E4" s="1" t="s">
        <v>82</v>
      </c>
      <c r="F4" s="1">
        <v>88</v>
      </c>
      <c r="G4" s="1">
        <v>90</v>
      </c>
      <c r="H4" s="1">
        <v>89</v>
      </c>
      <c r="I4" s="52" t="s">
        <v>148</v>
      </c>
    </row>
    <row r="5" spans="1:9" x14ac:dyDescent="0.3">
      <c r="A5" s="46">
        <v>4</v>
      </c>
      <c r="B5" s="1" t="s">
        <v>136</v>
      </c>
      <c r="C5" s="1" t="s">
        <v>137</v>
      </c>
      <c r="D5" s="1" t="s">
        <v>78</v>
      </c>
      <c r="E5" s="1" t="s">
        <v>81</v>
      </c>
      <c r="F5" s="1">
        <v>98</v>
      </c>
      <c r="G5" s="1">
        <v>87</v>
      </c>
      <c r="H5" s="1">
        <v>96</v>
      </c>
      <c r="I5" s="52" t="s">
        <v>153</v>
      </c>
    </row>
    <row r="6" spans="1:9" x14ac:dyDescent="0.3">
      <c r="A6" s="46">
        <v>5</v>
      </c>
      <c r="B6" s="1" t="s">
        <v>138</v>
      </c>
      <c r="C6" s="1" t="s">
        <v>139</v>
      </c>
      <c r="D6" s="1" t="s">
        <v>78</v>
      </c>
      <c r="E6" s="1" t="s">
        <v>79</v>
      </c>
      <c r="F6" s="1">
        <v>93</v>
      </c>
      <c r="G6" s="1">
        <v>80</v>
      </c>
      <c r="H6" s="1">
        <v>90</v>
      </c>
      <c r="I6" s="52" t="s">
        <v>149</v>
      </c>
    </row>
    <row r="7" spans="1:9" x14ac:dyDescent="0.3">
      <c r="A7" s="46">
        <v>6</v>
      </c>
      <c r="B7" s="1" t="s">
        <v>140</v>
      </c>
      <c r="C7" s="1" t="s">
        <v>13</v>
      </c>
      <c r="D7" s="1" t="s">
        <v>77</v>
      </c>
      <c r="E7" s="1" t="s">
        <v>80</v>
      </c>
      <c r="F7" s="1">
        <v>87</v>
      </c>
      <c r="G7" s="1">
        <v>82</v>
      </c>
      <c r="H7" s="1">
        <v>85</v>
      </c>
      <c r="I7" s="52" t="s">
        <v>150</v>
      </c>
    </row>
    <row r="8" spans="1:9" x14ac:dyDescent="0.3">
      <c r="A8" s="46">
        <v>7</v>
      </c>
      <c r="B8" s="1" t="s">
        <v>141</v>
      </c>
      <c r="C8" s="1" t="s">
        <v>142</v>
      </c>
      <c r="D8" s="1" t="s">
        <v>78</v>
      </c>
      <c r="E8" s="1" t="s">
        <v>82</v>
      </c>
      <c r="F8" s="1">
        <v>86</v>
      </c>
      <c r="G8" s="1">
        <v>85</v>
      </c>
      <c r="H8" s="1">
        <v>81</v>
      </c>
      <c r="I8" s="52" t="s">
        <v>151</v>
      </c>
    </row>
    <row r="9" spans="1:9" x14ac:dyDescent="0.3">
      <c r="A9" s="46">
        <v>8</v>
      </c>
      <c r="B9" s="1" t="s">
        <v>143</v>
      </c>
      <c r="C9" s="1" t="s">
        <v>11</v>
      </c>
      <c r="D9" s="1" t="s">
        <v>77</v>
      </c>
      <c r="E9" s="1" t="s">
        <v>81</v>
      </c>
      <c r="F9" s="1">
        <v>91</v>
      </c>
      <c r="G9" s="1">
        <v>93</v>
      </c>
      <c r="H9" s="1">
        <v>80</v>
      </c>
      <c r="I9" s="52" t="s">
        <v>147</v>
      </c>
    </row>
    <row r="10" spans="1:9" x14ac:dyDescent="0.3">
      <c r="A10" s="46">
        <v>9</v>
      </c>
      <c r="B10" s="1" t="s">
        <v>12</v>
      </c>
      <c r="C10" s="1" t="s">
        <v>13</v>
      </c>
      <c r="D10" s="1" t="s">
        <v>77</v>
      </c>
      <c r="E10" s="1" t="s">
        <v>79</v>
      </c>
      <c r="F10" s="1">
        <v>90</v>
      </c>
      <c r="G10" s="1">
        <v>90</v>
      </c>
      <c r="H10" s="1">
        <v>92</v>
      </c>
      <c r="I10" s="52" t="s">
        <v>152</v>
      </c>
    </row>
    <row r="11" spans="1:9" x14ac:dyDescent="0.3">
      <c r="A11" s="50">
        <v>10</v>
      </c>
      <c r="B11" s="51" t="s">
        <v>144</v>
      </c>
      <c r="C11" s="51" t="s">
        <v>135</v>
      </c>
      <c r="D11" s="51" t="s">
        <v>78</v>
      </c>
      <c r="E11" s="1" t="s">
        <v>80</v>
      </c>
      <c r="F11" s="51">
        <v>92</v>
      </c>
      <c r="G11" s="51">
        <v>94</v>
      </c>
      <c r="H11" s="51">
        <v>95</v>
      </c>
      <c r="I11" s="53" t="s">
        <v>83</v>
      </c>
    </row>
  </sheetData>
  <conditionalFormatting sqref="H1:H11">
    <cfRule type="colorScale" priority="1">
      <colorScale>
        <cfvo type="min"/>
        <cfvo type="percentile" val="50"/>
        <cfvo type="max"/>
        <color rgb="FFF8696B"/>
        <color rgb="FFFFEB84"/>
        <color rgb="FF63BE7B"/>
      </colorScale>
    </cfRule>
  </conditionalFormatting>
  <hyperlinks>
    <hyperlink ref="I2" r:id="rId1" xr:uid="{9F4C9312-E305-4AC8-8CE9-BC259F88478B}"/>
    <hyperlink ref="I3" r:id="rId2" xr:uid="{8D564A70-4000-43C9-B239-88BE0EA71E87}"/>
    <hyperlink ref="I4" r:id="rId3" xr:uid="{A76B4574-03A3-4C59-8CA4-7C543F9BB4DE}"/>
    <hyperlink ref="I6" r:id="rId4" xr:uid="{2A7496EF-E244-4569-B340-0EE90772513D}"/>
    <hyperlink ref="I7" r:id="rId5" xr:uid="{B8AFD3EC-0FC3-429C-95C4-068C866FE8E9}"/>
    <hyperlink ref="I8" r:id="rId6" xr:uid="{C0CCFF25-1520-4EC5-91C0-C8F2F0E5E5C2}"/>
    <hyperlink ref="I9" r:id="rId7" xr:uid="{DFD4E19E-72B3-4F01-BE0D-0FF06031A8AF}"/>
    <hyperlink ref="I10" r:id="rId8" xr:uid="{0D085FB2-95DE-4789-BDC5-7E82B32BDFB1}"/>
    <hyperlink ref="I11" r:id="rId9" xr:uid="{E24A04D0-CB00-40E9-9363-EB363BDFA196}"/>
    <hyperlink ref="I5" r:id="rId10" xr:uid="{AD92E161-BDF7-4502-9D1F-34D4F57DA02A}"/>
  </hyperlinks>
  <pageMargins left="0.7" right="0.7" top="0.75" bottom="0.75" header="0.3" footer="0.3"/>
  <legacyDrawing r:id="rId11"/>
  <tableParts count="1">
    <tablePart r:id="rId1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9B62D-E70F-4C95-9B63-DDD25440E713}">
  <dimension ref="C3:D13"/>
  <sheetViews>
    <sheetView workbookViewId="0">
      <selection activeCell="D28" sqref="D28"/>
    </sheetView>
  </sheetViews>
  <sheetFormatPr defaultRowHeight="14.4" x14ac:dyDescent="0.3"/>
  <cols>
    <col min="3" max="3" width="9.88671875" bestFit="1" customWidth="1"/>
    <col min="4" max="4" width="10.109375" customWidth="1"/>
  </cols>
  <sheetData>
    <row r="3" spans="3:4" x14ac:dyDescent="0.3">
      <c r="C3" s="56" t="s">
        <v>1</v>
      </c>
      <c r="D3" s="56" t="s">
        <v>129</v>
      </c>
    </row>
    <row r="4" spans="3:4" x14ac:dyDescent="0.3">
      <c r="C4" s="57" t="s">
        <v>131</v>
      </c>
      <c r="D4" s="57">
        <v>97</v>
      </c>
    </row>
    <row r="5" spans="3:4" x14ac:dyDescent="0.3">
      <c r="C5" s="1" t="s">
        <v>132</v>
      </c>
      <c r="D5" s="1">
        <v>90</v>
      </c>
    </row>
    <row r="6" spans="3:4" x14ac:dyDescent="0.3">
      <c r="C6" s="57" t="s">
        <v>134</v>
      </c>
      <c r="D6" s="57">
        <v>89</v>
      </c>
    </row>
    <row r="7" spans="3:4" x14ac:dyDescent="0.3">
      <c r="C7" s="1" t="s">
        <v>136</v>
      </c>
      <c r="D7" s="1">
        <v>96</v>
      </c>
    </row>
    <row r="8" spans="3:4" x14ac:dyDescent="0.3">
      <c r="C8" s="57" t="s">
        <v>138</v>
      </c>
      <c r="D8" s="57">
        <v>90</v>
      </c>
    </row>
    <row r="9" spans="3:4" x14ac:dyDescent="0.3">
      <c r="C9" s="1" t="s">
        <v>140</v>
      </c>
      <c r="D9" s="1">
        <v>85</v>
      </c>
    </row>
    <row r="10" spans="3:4" x14ac:dyDescent="0.3">
      <c r="C10" s="57" t="s">
        <v>141</v>
      </c>
      <c r="D10" s="57">
        <v>81</v>
      </c>
    </row>
    <row r="11" spans="3:4" x14ac:dyDescent="0.3">
      <c r="C11" s="1" t="s">
        <v>143</v>
      </c>
      <c r="D11" s="1">
        <v>80</v>
      </c>
    </row>
    <row r="12" spans="3:4" x14ac:dyDescent="0.3">
      <c r="C12" s="57" t="s">
        <v>12</v>
      </c>
      <c r="D12" s="57">
        <v>92</v>
      </c>
    </row>
    <row r="13" spans="3:4" x14ac:dyDescent="0.3">
      <c r="C13" s="1" t="s">
        <v>144</v>
      </c>
      <c r="D13" s="1">
        <v>95</v>
      </c>
    </row>
  </sheetData>
  <conditionalFormatting sqref="D3:D13">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A1949-96DE-4A00-84AB-FA5B2D620C9B}">
  <dimension ref="A2:E7"/>
  <sheetViews>
    <sheetView workbookViewId="0">
      <selection activeCell="D2" sqref="D2:E7"/>
    </sheetView>
  </sheetViews>
  <sheetFormatPr defaultRowHeight="14.4" x14ac:dyDescent="0.3"/>
  <cols>
    <col min="1" max="1" width="10.44140625" customWidth="1"/>
  </cols>
  <sheetData>
    <row r="2" spans="1:5" x14ac:dyDescent="0.3">
      <c r="A2" s="21" t="s">
        <v>102</v>
      </c>
      <c r="D2" s="38" t="s">
        <v>50</v>
      </c>
      <c r="E2" s="38" t="s">
        <v>102</v>
      </c>
    </row>
    <row r="3" spans="1:5" x14ac:dyDescent="0.3">
      <c r="A3" s="21" t="s">
        <v>79</v>
      </c>
      <c r="D3" s="1" t="s">
        <v>60</v>
      </c>
      <c r="E3" s="1" t="s">
        <v>79</v>
      </c>
    </row>
    <row r="4" spans="1:5" x14ac:dyDescent="0.3">
      <c r="A4" s="21" t="s">
        <v>80</v>
      </c>
      <c r="D4" s="1" t="s">
        <v>103</v>
      </c>
      <c r="E4" s="1" t="s">
        <v>80</v>
      </c>
    </row>
    <row r="5" spans="1:5" x14ac:dyDescent="0.3">
      <c r="A5" s="21" t="s">
        <v>82</v>
      </c>
      <c r="D5" s="1" t="s">
        <v>104</v>
      </c>
      <c r="E5" s="1" t="s">
        <v>79</v>
      </c>
    </row>
    <row r="6" spans="1:5" x14ac:dyDescent="0.3">
      <c r="D6" s="1" t="s">
        <v>105</v>
      </c>
      <c r="E6" s="1" t="s">
        <v>80</v>
      </c>
    </row>
    <row r="7" spans="1:5" x14ac:dyDescent="0.3">
      <c r="D7" s="1" t="s">
        <v>63</v>
      </c>
      <c r="E7" s="1" t="s">
        <v>82</v>
      </c>
    </row>
  </sheetData>
  <dataValidations count="1">
    <dataValidation type="list" allowBlank="1" showInputMessage="1" showErrorMessage="1" sqref="E3:E7" xr:uid="{0ED8241D-A983-4964-8BAD-DC9E399BAA3F}">
      <formula1>$A$3:$A$5</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515A5-60C8-475A-9A56-50FE06115797}">
  <dimension ref="A2:B20"/>
  <sheetViews>
    <sheetView workbookViewId="0">
      <selection activeCell="B2" sqref="B2"/>
    </sheetView>
  </sheetViews>
  <sheetFormatPr defaultRowHeight="14.4" x14ac:dyDescent="0.3"/>
  <cols>
    <col min="1" max="1" width="16.33203125" customWidth="1"/>
    <col min="2" max="2" width="16.33203125" bestFit="1" customWidth="1"/>
  </cols>
  <sheetData>
    <row r="2" spans="1:2" x14ac:dyDescent="0.3">
      <c r="A2" s="36" t="s">
        <v>57</v>
      </c>
      <c r="B2" s="36" t="s">
        <v>50</v>
      </c>
    </row>
    <row r="3" spans="1:2" x14ac:dyDescent="0.3">
      <c r="A3" s="39" t="s">
        <v>88</v>
      </c>
      <c r="B3" s="39" t="s">
        <v>106</v>
      </c>
    </row>
    <row r="4" spans="1:2" x14ac:dyDescent="0.3">
      <c r="A4" s="39" t="s">
        <v>90</v>
      </c>
      <c r="B4" s="39" t="s">
        <v>107</v>
      </c>
    </row>
    <row r="5" spans="1:2" x14ac:dyDescent="0.3">
      <c r="A5" s="39" t="s">
        <v>96</v>
      </c>
      <c r="B5" s="39" t="s">
        <v>108</v>
      </c>
    </row>
    <row r="6" spans="1:2" x14ac:dyDescent="0.3">
      <c r="A6" s="39" t="s">
        <v>84</v>
      </c>
      <c r="B6" s="39" t="s">
        <v>109</v>
      </c>
    </row>
    <row r="7" spans="1:2" x14ac:dyDescent="0.3">
      <c r="A7" s="39" t="s">
        <v>99</v>
      </c>
      <c r="B7" s="39" t="s">
        <v>110</v>
      </c>
    </row>
    <row r="8" spans="1:2" x14ac:dyDescent="0.3">
      <c r="A8" s="39" t="s">
        <v>93</v>
      </c>
      <c r="B8" s="39" t="s">
        <v>111</v>
      </c>
    </row>
    <row r="9" spans="1:2" x14ac:dyDescent="0.3">
      <c r="A9" s="39" t="s">
        <v>95</v>
      </c>
      <c r="B9" s="39" t="s">
        <v>112</v>
      </c>
    </row>
    <row r="10" spans="1:2" x14ac:dyDescent="0.3">
      <c r="A10" s="39" t="s">
        <v>83</v>
      </c>
      <c r="B10" s="39" t="s">
        <v>113</v>
      </c>
    </row>
    <row r="11" spans="1:2" x14ac:dyDescent="0.3">
      <c r="A11" s="39" t="s">
        <v>86</v>
      </c>
      <c r="B11" s="39" t="s">
        <v>62</v>
      </c>
    </row>
    <row r="12" spans="1:2" x14ac:dyDescent="0.3">
      <c r="A12" s="39" t="s">
        <v>100</v>
      </c>
      <c r="B12" s="39" t="s">
        <v>114</v>
      </c>
    </row>
    <row r="13" spans="1:2" x14ac:dyDescent="0.3">
      <c r="A13" s="39" t="s">
        <v>91</v>
      </c>
      <c r="B13" s="39" t="s">
        <v>34</v>
      </c>
    </row>
    <row r="14" spans="1:2" x14ac:dyDescent="0.3">
      <c r="A14" s="39" t="s">
        <v>89</v>
      </c>
      <c r="B14" s="39" t="s">
        <v>115</v>
      </c>
    </row>
    <row r="15" spans="1:2" x14ac:dyDescent="0.3">
      <c r="A15" s="39" t="s">
        <v>94</v>
      </c>
      <c r="B15" s="39" t="s">
        <v>116</v>
      </c>
    </row>
    <row r="16" spans="1:2" x14ac:dyDescent="0.3">
      <c r="A16" s="39" t="s">
        <v>85</v>
      </c>
      <c r="B16" s="39" t="s">
        <v>117</v>
      </c>
    </row>
    <row r="17" spans="1:2" x14ac:dyDescent="0.3">
      <c r="A17" s="39" t="s">
        <v>97</v>
      </c>
      <c r="B17" s="39" t="s">
        <v>118</v>
      </c>
    </row>
    <row r="18" spans="1:2" x14ac:dyDescent="0.3">
      <c r="A18" s="39" t="s">
        <v>92</v>
      </c>
      <c r="B18" s="39" t="s">
        <v>119</v>
      </c>
    </row>
    <row r="19" spans="1:2" x14ac:dyDescent="0.3">
      <c r="A19" s="39" t="s">
        <v>87</v>
      </c>
      <c r="B19" s="39" t="s">
        <v>120</v>
      </c>
    </row>
    <row r="20" spans="1:2" x14ac:dyDescent="0.3">
      <c r="A20" s="39" t="s">
        <v>98</v>
      </c>
      <c r="B20" s="39" t="s">
        <v>121</v>
      </c>
    </row>
  </sheetData>
  <conditionalFormatting sqref="A2:A20">
    <cfRule type="iconSet" priority="2">
      <iconSet iconSet="3Symbols2">
        <cfvo type="percent" val="0"/>
        <cfvo type="percent" val="33"/>
        <cfvo type="percent" val="67"/>
      </iconSet>
    </cfRule>
  </conditionalFormatting>
  <conditionalFormatting sqref="B2:B20">
    <cfRule type="iconSet" priority="1">
      <iconSet iconSet="3Symbols2">
        <cfvo type="percent" val="0"/>
        <cfvo type="percent" val="33"/>
        <cfvo type="percent" val="67"/>
      </iconSet>
    </cfRule>
  </conditionalFormatting>
  <hyperlinks>
    <hyperlink ref="A10" r:id="rId1" xr:uid="{7BED6FFD-1199-4A3D-91BA-360E9F1B601B}"/>
    <hyperlink ref="A6" r:id="rId2" xr:uid="{433CB06B-015D-4570-AF35-894A8BF18823}"/>
    <hyperlink ref="A16" r:id="rId3" xr:uid="{577A84F3-6155-411B-8E52-8B65F2CD5750}"/>
    <hyperlink ref="A11" r:id="rId4" xr:uid="{6940BA2F-71DA-4C0B-8F4C-69F99EC90FD9}"/>
    <hyperlink ref="A19" r:id="rId5" xr:uid="{8354430A-EB65-4152-AA41-0465D616C115}"/>
    <hyperlink ref="A3" r:id="rId6" xr:uid="{B985ED8E-B376-4936-B3F2-382B8490B0ED}"/>
    <hyperlink ref="A14" r:id="rId7" xr:uid="{2F5E2593-3D6D-4F70-AE91-60465D043A9C}"/>
    <hyperlink ref="A13" r:id="rId8" xr:uid="{8BA03189-DE3D-4DF5-9A06-592528F3D19D}"/>
    <hyperlink ref="A4" r:id="rId9" xr:uid="{AB445D1A-7CA9-4A34-BE68-C16D219B84F7}"/>
    <hyperlink ref="A18" r:id="rId10" xr:uid="{856ABFFA-ABAE-473F-B7BE-973AE70CB39D}"/>
    <hyperlink ref="A8" r:id="rId11" xr:uid="{41C02BED-5B8E-4A26-8C70-856D36B5A206}"/>
    <hyperlink ref="A15" r:id="rId12" xr:uid="{D651C8AB-C08D-4E47-A748-A47FF1EEFC9F}"/>
    <hyperlink ref="A9" r:id="rId13" xr:uid="{FF75743B-269C-4279-9AB4-5963D86A9E58}"/>
    <hyperlink ref="A5" r:id="rId14" xr:uid="{EF00CE7A-4944-4CBD-91B9-A9A3EF95A46F}"/>
    <hyperlink ref="A17" r:id="rId15" xr:uid="{BBEBC7E9-5C00-467B-B828-A4569D80448C}"/>
    <hyperlink ref="A20" r:id="rId16" xr:uid="{2D463DF6-9AF7-4C07-AF88-4D9F04AA2CED}"/>
    <hyperlink ref="A7" r:id="rId17" xr:uid="{E4F704F0-8403-4210-B2F8-CECC54F1F1B6}"/>
    <hyperlink ref="A12" r:id="rId18" xr:uid="{8C95451E-D714-437B-A0DA-EB74B3DF6060}"/>
    <hyperlink ref="B10" r:id="rId19" display="adi@xyz.com" xr:uid="{0E9E1D54-CFF9-4A9A-961C-898187AA30FF}"/>
    <hyperlink ref="B6" r:id="rId20" display="arjun@xyz.com" xr:uid="{A7ABD055-B727-4D95-8E8F-6EBDD7E444C9}"/>
    <hyperlink ref="B16" r:id="rId21" display="bishnu@mail. Com" xr:uid="{C5B4DD8F-EAF7-40CE-A3B6-F61383A49E18}"/>
    <hyperlink ref="B11" r:id="rId22" display="Deva@mail.com" xr:uid="{31E4E50D-626F-47BA-9E4A-DE1FFBA15E1C}"/>
    <hyperlink ref="B19" r:id="rId23" display="gopal@xyz.com" xr:uid="{4FDA41AF-A2D3-47D4-AB0E-5DFBF485DB10}"/>
    <hyperlink ref="B3" r:id="rId24" display="harish@mail.com" xr:uid="{5DEE68CC-B129-474F-AD13-7E8CCEBDDA2D}"/>
    <hyperlink ref="B14" r:id="rId25" display="ishan@mail.com" xr:uid="{63CD4020-30D7-4FA1-8E4F-C13855D98F63}"/>
    <hyperlink ref="B13" r:id="rId26" display="Jun@xyz.com" xr:uid="{44617EAB-DC57-4F98-AB2B-76109220A555}"/>
    <hyperlink ref="B4" r:id="rId27" display="kes@xyz.com" xr:uid="{EB282D82-7E8A-4465-8592-F3FB7A958940}"/>
    <hyperlink ref="B18" r:id="rId28" display="man@abc.com" xr:uid="{0CEBDBA3-43AC-4C04-AB6F-E5B3F8A52B12}"/>
    <hyperlink ref="B8" r:id="rId29" display="neha@mail.com" xr:uid="{74F21630-644A-4DDA-9CA9-BD8ED8BEBEA3}"/>
    <hyperlink ref="B15" r:id="rId30" display="priti@xyz.com" xr:uid="{7F6B583D-47B8-4FD3-BA63-72551016DC03}"/>
    <hyperlink ref="B9" r:id="rId31" display="ris@xyz.com" xr:uid="{BECD9A65-8902-4467-9A40-E5FC92CDEF60}"/>
    <hyperlink ref="B5" r:id="rId32" display="sourav@xyz.com" xr:uid="{DEBCD403-C9DC-4915-8551-057B0288BE9C}"/>
    <hyperlink ref="B17" r:id="rId33" display="shr@xyz.com" xr:uid="{64E0C759-C87B-4AF8-8058-E80A02B35F67}"/>
    <hyperlink ref="B20" r:id="rId34" display="tan@mail.com" xr:uid="{825D8A31-736D-495D-A5BB-D46DD011BE7C}"/>
    <hyperlink ref="B7" r:id="rId35" display="tris@mail.com" xr:uid="{82247EFE-C915-432D-83AD-81971E73AEE7}"/>
    <hyperlink ref="B12" r:id="rId36" display="vinita@mail.com" xr:uid="{949CA1E9-0F30-459E-9687-A7810AF3E068}"/>
  </hyperlinks>
  <pageMargins left="0.7" right="0.7" top="0.75" bottom="0.75" header="0.3" footer="0.3"/>
  <legacyDrawing r:id="rId3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FE89E-4599-47A7-AFBC-0B982E551337}">
  <dimension ref="A1:H6"/>
  <sheetViews>
    <sheetView workbookViewId="0">
      <selection activeCell="A3" sqref="A3:H6"/>
    </sheetView>
  </sheetViews>
  <sheetFormatPr defaultRowHeight="14.4" x14ac:dyDescent="0.3"/>
  <cols>
    <col min="1" max="1" width="9" bestFit="1" customWidth="1"/>
    <col min="2" max="2" width="9.33203125" bestFit="1" customWidth="1"/>
    <col min="3" max="5" width="9" bestFit="1" customWidth="1"/>
    <col min="6" max="7" width="12.109375" bestFit="1" customWidth="1"/>
    <col min="8" max="8" width="11" bestFit="1" customWidth="1"/>
  </cols>
  <sheetData>
    <row r="1" spans="1:8" x14ac:dyDescent="0.3">
      <c r="A1" s="45" t="s">
        <v>124</v>
      </c>
    </row>
    <row r="3" spans="1:8" x14ac:dyDescent="0.3">
      <c r="A3" t="s">
        <v>50</v>
      </c>
      <c r="B3" t="s">
        <v>51</v>
      </c>
      <c r="C3" t="s">
        <v>52</v>
      </c>
      <c r="D3" t="s">
        <v>53</v>
      </c>
      <c r="E3" t="s">
        <v>58</v>
      </c>
      <c r="F3" t="s">
        <v>54</v>
      </c>
      <c r="G3" t="s">
        <v>55</v>
      </c>
      <c r="H3" t="s">
        <v>56</v>
      </c>
    </row>
    <row r="4" spans="1:8" x14ac:dyDescent="0.3">
      <c r="A4" t="s">
        <v>63</v>
      </c>
      <c r="B4" t="s">
        <v>77</v>
      </c>
      <c r="C4">
        <v>17</v>
      </c>
      <c r="D4">
        <v>10</v>
      </c>
      <c r="E4" t="s">
        <v>79</v>
      </c>
      <c r="F4">
        <v>86</v>
      </c>
      <c r="G4">
        <v>84</v>
      </c>
      <c r="H4">
        <v>83</v>
      </c>
    </row>
    <row r="5" spans="1:8" x14ac:dyDescent="0.3">
      <c r="A5" t="s">
        <v>67</v>
      </c>
      <c r="B5" t="s">
        <v>77</v>
      </c>
      <c r="C5">
        <v>14</v>
      </c>
      <c r="D5">
        <v>8</v>
      </c>
      <c r="E5" t="s">
        <v>79</v>
      </c>
      <c r="F5">
        <v>90</v>
      </c>
      <c r="G5">
        <v>96</v>
      </c>
      <c r="H5">
        <v>94</v>
      </c>
    </row>
    <row r="6" spans="1:8" x14ac:dyDescent="0.3">
      <c r="A6" t="s">
        <v>59</v>
      </c>
      <c r="B6" t="s">
        <v>77</v>
      </c>
      <c r="C6">
        <v>15</v>
      </c>
      <c r="D6">
        <v>9</v>
      </c>
      <c r="E6" t="s">
        <v>79</v>
      </c>
      <c r="F6">
        <v>86</v>
      </c>
      <c r="G6">
        <v>88</v>
      </c>
      <c r="H6">
        <v>95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B55C6-87F4-4321-833F-F69E120C0DD1}">
  <dimension ref="A2:B20"/>
  <sheetViews>
    <sheetView zoomScale="73" zoomScaleNormal="73" workbookViewId="0">
      <selection activeCell="P23" sqref="P23"/>
    </sheetView>
  </sheetViews>
  <sheetFormatPr defaultRowHeight="14.4" x14ac:dyDescent="0.3"/>
  <sheetData>
    <row r="2" spans="1:2" x14ac:dyDescent="0.3">
      <c r="A2" s="40" t="s">
        <v>50</v>
      </c>
      <c r="B2" s="36" t="s">
        <v>56</v>
      </c>
    </row>
    <row r="3" spans="1:2" x14ac:dyDescent="0.3">
      <c r="A3" s="28" t="s">
        <v>64</v>
      </c>
      <c r="B3" s="28">
        <v>97</v>
      </c>
    </row>
    <row r="4" spans="1:2" x14ac:dyDescent="0.3">
      <c r="A4" s="28" t="s">
        <v>67</v>
      </c>
      <c r="B4" s="28">
        <v>94</v>
      </c>
    </row>
    <row r="5" spans="1:2" x14ac:dyDescent="0.3">
      <c r="A5" s="28" t="s">
        <v>72</v>
      </c>
      <c r="B5" s="28">
        <v>86</v>
      </c>
    </row>
    <row r="6" spans="1:2" x14ac:dyDescent="0.3">
      <c r="A6" s="28" t="s">
        <v>60</v>
      </c>
      <c r="B6" s="28">
        <v>86</v>
      </c>
    </row>
    <row r="7" spans="1:2" x14ac:dyDescent="0.3">
      <c r="A7" s="28" t="s">
        <v>75</v>
      </c>
      <c r="B7" s="28">
        <v>81</v>
      </c>
    </row>
    <row r="8" spans="1:2" x14ac:dyDescent="0.3">
      <c r="A8" s="28" t="s">
        <v>69</v>
      </c>
      <c r="B8" s="28">
        <v>96</v>
      </c>
    </row>
    <row r="9" spans="1:2" x14ac:dyDescent="0.3">
      <c r="A9" s="28" t="s">
        <v>71</v>
      </c>
      <c r="B9" s="28">
        <v>95</v>
      </c>
    </row>
    <row r="10" spans="1:2" x14ac:dyDescent="0.3">
      <c r="A10" s="28" t="s">
        <v>59</v>
      </c>
      <c r="B10" s="28">
        <v>95</v>
      </c>
    </row>
    <row r="11" spans="1:2" x14ac:dyDescent="0.3">
      <c r="A11" s="28" t="s">
        <v>62</v>
      </c>
      <c r="B11" s="28">
        <v>90</v>
      </c>
    </row>
    <row r="12" spans="1:2" x14ac:dyDescent="0.3">
      <c r="A12" s="28" t="s">
        <v>76</v>
      </c>
      <c r="B12" s="28">
        <v>83</v>
      </c>
    </row>
    <row r="13" spans="1:2" x14ac:dyDescent="0.3">
      <c r="A13" s="28" t="s">
        <v>66</v>
      </c>
      <c r="B13" s="28">
        <v>82</v>
      </c>
    </row>
    <row r="14" spans="1:2" x14ac:dyDescent="0.3">
      <c r="A14" s="28" t="s">
        <v>65</v>
      </c>
      <c r="B14" s="28">
        <v>84</v>
      </c>
    </row>
    <row r="15" spans="1:2" x14ac:dyDescent="0.3">
      <c r="A15" s="28" t="s">
        <v>70</v>
      </c>
      <c r="B15" s="28">
        <v>83</v>
      </c>
    </row>
    <row r="16" spans="1:2" x14ac:dyDescent="0.3">
      <c r="A16" s="28" t="s">
        <v>61</v>
      </c>
      <c r="B16" s="28">
        <v>80</v>
      </c>
    </row>
    <row r="17" spans="1:2" x14ac:dyDescent="0.3">
      <c r="A17" s="28" t="s">
        <v>73</v>
      </c>
      <c r="B17" s="28">
        <v>77</v>
      </c>
    </row>
    <row r="18" spans="1:2" x14ac:dyDescent="0.3">
      <c r="A18" s="28" t="s">
        <v>68</v>
      </c>
      <c r="B18" s="28">
        <v>85</v>
      </c>
    </row>
    <row r="19" spans="1:2" x14ac:dyDescent="0.3">
      <c r="A19" s="28" t="s">
        <v>63</v>
      </c>
      <c r="B19" s="28">
        <v>83</v>
      </c>
    </row>
    <row r="20" spans="1:2" x14ac:dyDescent="0.3">
      <c r="A20" s="28" t="s">
        <v>74</v>
      </c>
      <c r="B20" s="28">
        <v>79</v>
      </c>
    </row>
  </sheetData>
  <conditionalFormatting sqref="B2:B20">
    <cfRule type="colorScale" priority="2">
      <colorScale>
        <cfvo type="min"/>
        <cfvo type="percentile" val="50"/>
        <cfvo type="max"/>
        <color rgb="FFF8696B"/>
        <color rgb="FFFFEB84"/>
        <color rgb="FF63BE7B"/>
      </colorScale>
    </cfRule>
  </conditionalFormatting>
  <hyperlinks>
    <hyperlink ref="A2" location="Names!A1" display="Name" xr:uid="{6DBD6E41-31AC-4F0D-9F17-748AD939BFDD}"/>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4C352752-A8F5-4C8B-875F-6D066FBB4CA7}">
            <x14:iconSet iconSet="3Triangles">
              <x14:cfvo type="percent">
                <xm:f>0</xm:f>
              </x14:cfvo>
              <x14:cfvo type="percent">
                <xm:f>33</xm:f>
              </x14:cfvo>
              <x14:cfvo type="percent">
                <xm:f>67</xm:f>
              </x14:cfvo>
            </x14:iconSet>
          </x14:cfRule>
          <xm:sqref>B3:B20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64A9-A241-4291-9979-FBCC50027DC4}">
  <dimension ref="A1:H6"/>
  <sheetViews>
    <sheetView workbookViewId="0">
      <selection activeCell="A3" sqref="A3:H6"/>
    </sheetView>
  </sheetViews>
  <sheetFormatPr defaultRowHeight="14.4" x14ac:dyDescent="0.3"/>
  <cols>
    <col min="1" max="1" width="9" bestFit="1" customWidth="1"/>
    <col min="2" max="2" width="9.33203125" bestFit="1" customWidth="1"/>
    <col min="3" max="5" width="9" bestFit="1" customWidth="1"/>
    <col min="6" max="7" width="12.109375" bestFit="1" customWidth="1"/>
    <col min="8" max="8" width="11" bestFit="1" customWidth="1"/>
  </cols>
  <sheetData>
    <row r="1" spans="1:8" x14ac:dyDescent="0.3">
      <c r="A1" s="45" t="s">
        <v>124</v>
      </c>
    </row>
    <row r="3" spans="1:8" x14ac:dyDescent="0.3">
      <c r="A3" t="s">
        <v>50</v>
      </c>
      <c r="B3" t="s">
        <v>51</v>
      </c>
      <c r="C3" t="s">
        <v>52</v>
      </c>
      <c r="D3" t="s">
        <v>53</v>
      </c>
      <c r="E3" t="s">
        <v>58</v>
      </c>
      <c r="F3" t="s">
        <v>54</v>
      </c>
      <c r="G3" t="s">
        <v>55</v>
      </c>
      <c r="H3" t="s">
        <v>56</v>
      </c>
    </row>
    <row r="4" spans="1:8" x14ac:dyDescent="0.3">
      <c r="A4" t="s">
        <v>63</v>
      </c>
      <c r="B4" t="s">
        <v>77</v>
      </c>
      <c r="C4">
        <v>17</v>
      </c>
      <c r="D4">
        <v>10</v>
      </c>
      <c r="E4" t="s">
        <v>79</v>
      </c>
      <c r="F4">
        <v>86</v>
      </c>
      <c r="G4">
        <v>84</v>
      </c>
      <c r="H4">
        <v>83</v>
      </c>
    </row>
    <row r="5" spans="1:8" x14ac:dyDescent="0.3">
      <c r="A5" t="s">
        <v>67</v>
      </c>
      <c r="B5" t="s">
        <v>77</v>
      </c>
      <c r="C5">
        <v>14</v>
      </c>
      <c r="D5">
        <v>8</v>
      </c>
      <c r="E5" t="s">
        <v>79</v>
      </c>
      <c r="F5">
        <v>90</v>
      </c>
      <c r="G5">
        <v>96</v>
      </c>
      <c r="H5">
        <v>94</v>
      </c>
    </row>
    <row r="6" spans="1:8" x14ac:dyDescent="0.3">
      <c r="A6" t="s">
        <v>59</v>
      </c>
      <c r="B6" t="s">
        <v>77</v>
      </c>
      <c r="C6">
        <v>15</v>
      </c>
      <c r="D6">
        <v>9</v>
      </c>
      <c r="E6" t="s">
        <v>79</v>
      </c>
      <c r="F6">
        <v>86</v>
      </c>
      <c r="G6">
        <v>88</v>
      </c>
      <c r="H6">
        <v>95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623F-985F-48BE-AD78-F6236191DF62}">
  <dimension ref="A3:C12"/>
  <sheetViews>
    <sheetView workbookViewId="0">
      <selection activeCell="C5" sqref="C5"/>
    </sheetView>
  </sheetViews>
  <sheetFormatPr defaultRowHeight="14.4" x14ac:dyDescent="0.3"/>
  <cols>
    <col min="1" max="1" width="12.5546875" bestFit="1" customWidth="1"/>
    <col min="2" max="2" width="9.33203125" bestFit="1" customWidth="1"/>
    <col min="3" max="3" width="15.33203125" bestFit="1" customWidth="1"/>
    <col min="4" max="4" width="10.77734375" bestFit="1" customWidth="1"/>
  </cols>
  <sheetData>
    <row r="3" spans="1:3" x14ac:dyDescent="0.3">
      <c r="A3" s="44" t="s">
        <v>58</v>
      </c>
      <c r="B3" s="44" t="s">
        <v>51</v>
      </c>
      <c r="C3" t="s">
        <v>123</v>
      </c>
    </row>
    <row r="4" spans="1:3" x14ac:dyDescent="0.3">
      <c r="A4" t="s">
        <v>79</v>
      </c>
      <c r="B4" t="s">
        <v>78</v>
      </c>
      <c r="C4">
        <v>176</v>
      </c>
    </row>
    <row r="5" spans="1:3" x14ac:dyDescent="0.3">
      <c r="B5" t="s">
        <v>77</v>
      </c>
      <c r="C5">
        <v>272</v>
      </c>
    </row>
    <row r="6" spans="1:3" x14ac:dyDescent="0.3">
      <c r="A6" t="s">
        <v>80</v>
      </c>
      <c r="B6" t="s">
        <v>78</v>
      </c>
      <c r="C6">
        <v>83</v>
      </c>
    </row>
    <row r="7" spans="1:3" x14ac:dyDescent="0.3">
      <c r="B7" t="s">
        <v>77</v>
      </c>
      <c r="C7">
        <v>354</v>
      </c>
    </row>
    <row r="8" spans="1:3" x14ac:dyDescent="0.3">
      <c r="A8" t="s">
        <v>82</v>
      </c>
      <c r="B8" t="s">
        <v>78</v>
      </c>
      <c r="C8">
        <v>173</v>
      </c>
    </row>
    <row r="9" spans="1:3" x14ac:dyDescent="0.3">
      <c r="B9" t="s">
        <v>77</v>
      </c>
      <c r="C9">
        <v>164</v>
      </c>
    </row>
    <row r="10" spans="1:3" x14ac:dyDescent="0.3">
      <c r="A10" t="s">
        <v>81</v>
      </c>
      <c r="B10" t="s">
        <v>78</v>
      </c>
      <c r="C10">
        <v>83</v>
      </c>
    </row>
    <row r="11" spans="1:3" x14ac:dyDescent="0.3">
      <c r="B11" t="s">
        <v>77</v>
      </c>
      <c r="C11">
        <v>251</v>
      </c>
    </row>
    <row r="12" spans="1:3" x14ac:dyDescent="0.3">
      <c r="A12" t="s">
        <v>122</v>
      </c>
      <c r="C12">
        <v>1556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EC9E2-9205-4675-9D23-89A10B129839}">
  <dimension ref="A1:N19"/>
  <sheetViews>
    <sheetView workbookViewId="0">
      <selection activeCell="M15" sqref="M15"/>
    </sheetView>
  </sheetViews>
  <sheetFormatPr defaultRowHeight="14.4" x14ac:dyDescent="0.3"/>
  <cols>
    <col min="12" max="12" width="6.6640625" bestFit="1" customWidth="1"/>
    <col min="13" max="13" width="11" customWidth="1"/>
  </cols>
  <sheetData>
    <row r="1" spans="1:14" x14ac:dyDescent="0.3">
      <c r="A1" s="40" t="s">
        <v>50</v>
      </c>
      <c r="B1" s="36" t="s">
        <v>51</v>
      </c>
      <c r="C1" s="36" t="s">
        <v>52</v>
      </c>
      <c r="D1" s="36" t="s">
        <v>53</v>
      </c>
      <c r="E1" s="36" t="s">
        <v>58</v>
      </c>
      <c r="F1" s="36" t="s">
        <v>54</v>
      </c>
      <c r="G1" s="36" t="s">
        <v>55</v>
      </c>
      <c r="H1" s="36" t="s">
        <v>56</v>
      </c>
    </row>
    <row r="2" spans="1:14" x14ac:dyDescent="0.3">
      <c r="A2" s="28" t="s">
        <v>64</v>
      </c>
      <c r="B2" s="28" t="s">
        <v>77</v>
      </c>
      <c r="C2" s="28">
        <v>14</v>
      </c>
      <c r="D2" s="28">
        <v>8</v>
      </c>
      <c r="E2" s="28" t="s">
        <v>80</v>
      </c>
      <c r="F2" s="28">
        <v>90</v>
      </c>
      <c r="G2" s="28">
        <v>94</v>
      </c>
      <c r="H2" s="28">
        <v>97</v>
      </c>
      <c r="L2" s="42" t="s">
        <v>50</v>
      </c>
      <c r="M2" s="42" t="s">
        <v>55</v>
      </c>
      <c r="N2" s="43" t="s">
        <v>56</v>
      </c>
    </row>
    <row r="3" spans="1:14" x14ac:dyDescent="0.3">
      <c r="A3" s="28" t="s">
        <v>67</v>
      </c>
      <c r="B3" s="28" t="s">
        <v>77</v>
      </c>
      <c r="C3" s="28">
        <v>14</v>
      </c>
      <c r="D3" s="28">
        <v>8</v>
      </c>
      <c r="E3" s="28" t="s">
        <v>79</v>
      </c>
      <c r="F3" s="28">
        <v>90</v>
      </c>
      <c r="G3" s="28">
        <v>96</v>
      </c>
      <c r="H3" s="28">
        <v>94</v>
      </c>
      <c r="L3" s="1" t="s">
        <v>67</v>
      </c>
      <c r="M3" s="1">
        <f>VLOOKUP(L3,A1:H19,7,FALSE)</f>
        <v>96</v>
      </c>
      <c r="N3" s="3">
        <f>VLOOKUP(L3,A1:H19,8,0)</f>
        <v>94</v>
      </c>
    </row>
    <row r="4" spans="1:14" x14ac:dyDescent="0.3">
      <c r="A4" s="28" t="s">
        <v>72</v>
      </c>
      <c r="B4" s="28" t="s">
        <v>77</v>
      </c>
      <c r="C4" s="28">
        <v>14</v>
      </c>
      <c r="D4" s="28">
        <v>8</v>
      </c>
      <c r="E4" s="28" t="s">
        <v>80</v>
      </c>
      <c r="F4" s="28">
        <v>70</v>
      </c>
      <c r="G4" s="28">
        <v>87</v>
      </c>
      <c r="H4" s="28">
        <v>86</v>
      </c>
      <c r="L4" s="1" t="s">
        <v>65</v>
      </c>
      <c r="M4" s="1">
        <f t="shared" ref="M4:M6" si="0">VLOOKUP(L4,A2:H20,7,FALSE)</f>
        <v>80</v>
      </c>
      <c r="N4" s="3">
        <f t="shared" ref="N4:N6" si="1">VLOOKUP(L4,A2:H20,8,0)</f>
        <v>84</v>
      </c>
    </row>
    <row r="5" spans="1:14" x14ac:dyDescent="0.3">
      <c r="A5" s="28" t="s">
        <v>60</v>
      </c>
      <c r="B5" s="28" t="s">
        <v>77</v>
      </c>
      <c r="C5" s="28">
        <v>14</v>
      </c>
      <c r="D5" s="28">
        <v>8</v>
      </c>
      <c r="E5" s="28" t="s">
        <v>80</v>
      </c>
      <c r="F5" s="28">
        <v>82</v>
      </c>
      <c r="G5" s="28">
        <v>78</v>
      </c>
      <c r="H5" s="28">
        <v>86</v>
      </c>
      <c r="L5" s="1" t="s">
        <v>63</v>
      </c>
      <c r="M5" s="1">
        <f t="shared" si="0"/>
        <v>84</v>
      </c>
      <c r="N5" s="3">
        <f t="shared" si="1"/>
        <v>83</v>
      </c>
    </row>
    <row r="6" spans="1:14" x14ac:dyDescent="0.3">
      <c r="A6" s="28" t="s">
        <v>75</v>
      </c>
      <c r="B6" s="28" t="s">
        <v>78</v>
      </c>
      <c r="C6" s="28">
        <v>14</v>
      </c>
      <c r="D6" s="28">
        <v>8</v>
      </c>
      <c r="E6" s="28" t="s">
        <v>79</v>
      </c>
      <c r="F6" s="28">
        <v>80</v>
      </c>
      <c r="G6" s="28">
        <v>84</v>
      </c>
      <c r="H6" s="28">
        <v>81</v>
      </c>
      <c r="L6" s="1" t="s">
        <v>60</v>
      </c>
      <c r="M6" s="1">
        <f t="shared" si="0"/>
        <v>78</v>
      </c>
      <c r="N6" s="3">
        <f t="shared" si="1"/>
        <v>86</v>
      </c>
    </row>
    <row r="7" spans="1:14" x14ac:dyDescent="0.3">
      <c r="A7" s="28" t="s">
        <v>69</v>
      </c>
      <c r="B7" s="28" t="s">
        <v>78</v>
      </c>
      <c r="C7" s="28">
        <v>15</v>
      </c>
      <c r="D7" s="28">
        <v>9</v>
      </c>
      <c r="E7" s="28" t="s">
        <v>82</v>
      </c>
      <c r="F7" s="28">
        <v>99</v>
      </c>
      <c r="G7" s="28">
        <v>92</v>
      </c>
      <c r="H7" s="28">
        <v>96</v>
      </c>
    </row>
    <row r="8" spans="1:14" x14ac:dyDescent="0.3">
      <c r="A8" s="28" t="s">
        <v>71</v>
      </c>
      <c r="B8" s="28" t="s">
        <v>78</v>
      </c>
      <c r="C8" s="28">
        <v>15</v>
      </c>
      <c r="D8" s="28">
        <v>9</v>
      </c>
      <c r="E8" s="28" t="s">
        <v>79</v>
      </c>
      <c r="F8" s="28">
        <v>93</v>
      </c>
      <c r="G8" s="28">
        <v>87</v>
      </c>
      <c r="H8" s="28">
        <v>95</v>
      </c>
    </row>
    <row r="9" spans="1:14" x14ac:dyDescent="0.3">
      <c r="A9" s="28" t="s">
        <v>59</v>
      </c>
      <c r="B9" s="28" t="s">
        <v>77</v>
      </c>
      <c r="C9" s="28">
        <v>15</v>
      </c>
      <c r="D9" s="28">
        <v>9</v>
      </c>
      <c r="E9" s="28" t="s">
        <v>79</v>
      </c>
      <c r="F9" s="28">
        <v>86</v>
      </c>
      <c r="G9" s="28">
        <v>88</v>
      </c>
      <c r="H9" s="28">
        <v>95</v>
      </c>
    </row>
    <row r="10" spans="1:14" x14ac:dyDescent="0.3">
      <c r="A10" s="28" t="s">
        <v>62</v>
      </c>
      <c r="B10" s="28" t="s">
        <v>77</v>
      </c>
      <c r="C10" s="28">
        <v>15</v>
      </c>
      <c r="D10" s="28">
        <v>9</v>
      </c>
      <c r="E10" s="28" t="s">
        <v>81</v>
      </c>
      <c r="F10" s="28">
        <v>87</v>
      </c>
      <c r="G10" s="28">
        <v>85</v>
      </c>
      <c r="H10" s="28">
        <v>90</v>
      </c>
    </row>
    <row r="11" spans="1:14" x14ac:dyDescent="0.3">
      <c r="A11" s="28" t="s">
        <v>76</v>
      </c>
      <c r="B11" s="28" t="s">
        <v>78</v>
      </c>
      <c r="C11" s="28">
        <v>15</v>
      </c>
      <c r="D11" s="28">
        <v>9</v>
      </c>
      <c r="E11" s="28" t="s">
        <v>80</v>
      </c>
      <c r="F11" s="28">
        <v>89</v>
      </c>
      <c r="G11" s="28">
        <v>79</v>
      </c>
      <c r="H11" s="28">
        <v>83</v>
      </c>
    </row>
    <row r="12" spans="1:14" x14ac:dyDescent="0.3">
      <c r="A12" s="28" t="s">
        <v>66</v>
      </c>
      <c r="B12" s="28" t="s">
        <v>77</v>
      </c>
      <c r="C12" s="28">
        <v>15</v>
      </c>
      <c r="D12" s="28">
        <v>9</v>
      </c>
      <c r="E12" s="28" t="s">
        <v>81</v>
      </c>
      <c r="F12" s="28">
        <v>78</v>
      </c>
      <c r="G12" s="28">
        <v>83</v>
      </c>
      <c r="H12" s="28">
        <v>82</v>
      </c>
    </row>
    <row r="13" spans="1:14" x14ac:dyDescent="0.3">
      <c r="A13" s="28" t="s">
        <v>65</v>
      </c>
      <c r="B13" s="28" t="s">
        <v>77</v>
      </c>
      <c r="C13" s="28">
        <v>16</v>
      </c>
      <c r="D13" s="28">
        <v>10</v>
      </c>
      <c r="E13" s="28" t="s">
        <v>82</v>
      </c>
      <c r="F13" s="28">
        <v>85</v>
      </c>
      <c r="G13" s="28">
        <v>80</v>
      </c>
      <c r="H13" s="28">
        <v>84</v>
      </c>
    </row>
    <row r="14" spans="1:14" x14ac:dyDescent="0.3">
      <c r="A14" s="28" t="s">
        <v>70</v>
      </c>
      <c r="B14" s="28" t="s">
        <v>78</v>
      </c>
      <c r="C14" s="28">
        <v>16</v>
      </c>
      <c r="D14" s="28">
        <v>10</v>
      </c>
      <c r="E14" s="28" t="s">
        <v>81</v>
      </c>
      <c r="F14" s="28">
        <v>79</v>
      </c>
      <c r="G14" s="28">
        <v>87</v>
      </c>
      <c r="H14" s="28">
        <v>83</v>
      </c>
    </row>
    <row r="15" spans="1:14" x14ac:dyDescent="0.3">
      <c r="A15" s="28" t="s">
        <v>61</v>
      </c>
      <c r="B15" s="28" t="s">
        <v>77</v>
      </c>
      <c r="C15" s="28">
        <v>16</v>
      </c>
      <c r="D15" s="28">
        <v>10</v>
      </c>
      <c r="E15" s="28" t="s">
        <v>82</v>
      </c>
      <c r="F15" s="28">
        <v>80</v>
      </c>
      <c r="G15" s="28">
        <v>79</v>
      </c>
      <c r="H15" s="28">
        <v>80</v>
      </c>
    </row>
    <row r="16" spans="1:14" x14ac:dyDescent="0.3">
      <c r="A16" s="28" t="s">
        <v>73</v>
      </c>
      <c r="B16" s="28" t="s">
        <v>78</v>
      </c>
      <c r="C16" s="28">
        <v>16</v>
      </c>
      <c r="D16" s="28">
        <v>10</v>
      </c>
      <c r="E16" s="28" t="s">
        <v>82</v>
      </c>
      <c r="F16" s="28">
        <v>78</v>
      </c>
      <c r="G16" s="28">
        <v>76</v>
      </c>
      <c r="H16" s="28">
        <v>77</v>
      </c>
    </row>
    <row r="17" spans="1:8" x14ac:dyDescent="0.3">
      <c r="A17" s="28" t="s">
        <v>68</v>
      </c>
      <c r="B17" s="28" t="s">
        <v>77</v>
      </c>
      <c r="C17" s="28">
        <v>17</v>
      </c>
      <c r="D17" s="28">
        <v>10</v>
      </c>
      <c r="E17" s="28" t="s">
        <v>80</v>
      </c>
      <c r="F17" s="28">
        <v>88</v>
      </c>
      <c r="G17" s="28">
        <v>80</v>
      </c>
      <c r="H17" s="28">
        <v>85</v>
      </c>
    </row>
    <row r="18" spans="1:8" x14ac:dyDescent="0.3">
      <c r="A18" s="28" t="s">
        <v>63</v>
      </c>
      <c r="B18" s="28" t="s">
        <v>77</v>
      </c>
      <c r="C18" s="28">
        <v>17</v>
      </c>
      <c r="D18" s="28">
        <v>10</v>
      </c>
      <c r="E18" s="28" t="s">
        <v>79</v>
      </c>
      <c r="F18" s="28">
        <v>86</v>
      </c>
      <c r="G18" s="28">
        <v>84</v>
      </c>
      <c r="H18" s="28">
        <v>83</v>
      </c>
    </row>
    <row r="19" spans="1:8" x14ac:dyDescent="0.3">
      <c r="A19" s="28" t="s">
        <v>74</v>
      </c>
      <c r="B19" s="28" t="s">
        <v>77</v>
      </c>
      <c r="C19" s="28">
        <v>17</v>
      </c>
      <c r="D19" s="28">
        <v>10</v>
      </c>
      <c r="E19" s="28" t="s">
        <v>81</v>
      </c>
      <c r="F19" s="28">
        <v>79</v>
      </c>
      <c r="G19" s="28">
        <v>80</v>
      </c>
      <c r="H19" s="28">
        <v>79</v>
      </c>
    </row>
  </sheetData>
  <conditionalFormatting sqref="H1:H19">
    <cfRule type="colorScale" priority="2">
      <colorScale>
        <cfvo type="min"/>
        <cfvo type="percentile" val="50"/>
        <cfvo type="max"/>
        <color rgb="FFF8696B"/>
        <color rgb="FFFFEB84"/>
        <color rgb="FF63BE7B"/>
      </colorScale>
    </cfRule>
  </conditionalFormatting>
  <hyperlinks>
    <hyperlink ref="A1" location="Names!A1" display="Name" xr:uid="{7AF28234-9801-4D3D-86F1-80C7E135D534}"/>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097B1725-A969-45D5-A555-964DBF30BF46}">
            <x14:iconSet iconSet="3Triangles">
              <x14:cfvo type="percent">
                <xm:f>0</xm:f>
              </x14:cfvo>
              <x14:cfvo type="percent">
                <xm:f>33</xm:f>
              </x14:cfvo>
              <x14:cfvo type="percent">
                <xm:f>67</xm:f>
              </x14:cfvo>
            </x14:iconSet>
          </x14:cfRule>
          <xm:sqref>H2:H19</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2F08F-23AF-475C-9C9F-E5008083CC52}">
  <dimension ref="A2:A8"/>
  <sheetViews>
    <sheetView workbookViewId="0">
      <selection activeCell="B2" sqref="B2"/>
    </sheetView>
  </sheetViews>
  <sheetFormatPr defaultRowHeight="14.4" x14ac:dyDescent="0.3"/>
  <cols>
    <col min="1" max="2" width="8.88671875" customWidth="1"/>
  </cols>
  <sheetData>
    <row r="2" spans="1:1" x14ac:dyDescent="0.3">
      <c r="A2" t="s">
        <v>179</v>
      </c>
    </row>
    <row r="3" spans="1:1" x14ac:dyDescent="0.3">
      <c r="A3" t="s">
        <v>180</v>
      </c>
    </row>
    <row r="4" spans="1:1" x14ac:dyDescent="0.3">
      <c r="A4" t="s">
        <v>181</v>
      </c>
    </row>
    <row r="5" spans="1:1" x14ac:dyDescent="0.3">
      <c r="A5" t="s">
        <v>182</v>
      </c>
    </row>
    <row r="6" spans="1:1" x14ac:dyDescent="0.3">
      <c r="A6" t="s">
        <v>181</v>
      </c>
    </row>
    <row r="7" spans="1:1" x14ac:dyDescent="0.3">
      <c r="A7" t="s">
        <v>180</v>
      </c>
    </row>
    <row r="8" spans="1:1" x14ac:dyDescent="0.3">
      <c r="A8" t="s">
        <v>182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D45BA-803A-43D9-8F64-63FE994917A8}">
  <dimension ref="A3:E24"/>
  <sheetViews>
    <sheetView workbookViewId="0">
      <selection activeCell="M5" sqref="M5"/>
    </sheetView>
  </sheetViews>
  <sheetFormatPr defaultRowHeight="14.4" x14ac:dyDescent="0.3"/>
  <cols>
    <col min="1" max="1" width="12.5546875" bestFit="1" customWidth="1"/>
    <col min="2" max="2" width="17" bestFit="1" customWidth="1"/>
    <col min="4" max="4" width="9.88671875" bestFit="1" customWidth="1"/>
    <col min="5" max="5" width="10.44140625" bestFit="1" customWidth="1"/>
  </cols>
  <sheetData>
    <row r="3" spans="1:5" x14ac:dyDescent="0.3">
      <c r="A3" s="44" t="s">
        <v>154</v>
      </c>
      <c r="B3" t="s">
        <v>178</v>
      </c>
      <c r="D3" s="61" t="s">
        <v>1</v>
      </c>
      <c r="E3" s="61" t="s">
        <v>129</v>
      </c>
    </row>
    <row r="4" spans="1:5" x14ac:dyDescent="0.3">
      <c r="A4" s="54" t="s">
        <v>131</v>
      </c>
      <c r="B4">
        <v>86</v>
      </c>
      <c r="D4" s="62" t="s">
        <v>12</v>
      </c>
      <c r="E4" s="62">
        <v>97</v>
      </c>
    </row>
    <row r="5" spans="1:5" x14ac:dyDescent="0.3">
      <c r="A5" s="55" t="s">
        <v>166</v>
      </c>
      <c r="B5">
        <v>86</v>
      </c>
      <c r="D5" s="1" t="s">
        <v>60</v>
      </c>
      <c r="E5" s="1">
        <v>96</v>
      </c>
    </row>
    <row r="6" spans="1:5" x14ac:dyDescent="0.3">
      <c r="A6" s="54" t="s">
        <v>144</v>
      </c>
      <c r="B6">
        <v>93</v>
      </c>
      <c r="D6" s="62" t="s">
        <v>159</v>
      </c>
      <c r="E6" s="62">
        <v>95</v>
      </c>
    </row>
    <row r="7" spans="1:5" x14ac:dyDescent="0.3">
      <c r="A7" s="55" t="s">
        <v>164</v>
      </c>
      <c r="B7">
        <v>93</v>
      </c>
      <c r="D7" s="1" t="s">
        <v>59</v>
      </c>
      <c r="E7" s="1">
        <v>94</v>
      </c>
    </row>
    <row r="8" spans="1:5" x14ac:dyDescent="0.3">
      <c r="A8" s="54" t="s">
        <v>59</v>
      </c>
      <c r="B8">
        <v>94</v>
      </c>
      <c r="D8" s="62" t="s">
        <v>144</v>
      </c>
      <c r="E8" s="62">
        <v>93</v>
      </c>
    </row>
    <row r="9" spans="1:5" x14ac:dyDescent="0.3">
      <c r="A9" s="55" t="s">
        <v>163</v>
      </c>
      <c r="B9">
        <v>94</v>
      </c>
      <c r="D9" s="1" t="s">
        <v>10</v>
      </c>
      <c r="E9" s="1">
        <v>90</v>
      </c>
    </row>
    <row r="10" spans="1:5" x14ac:dyDescent="0.3">
      <c r="A10" s="54" t="s">
        <v>60</v>
      </c>
      <c r="B10">
        <v>96</v>
      </c>
      <c r="D10" s="62" t="s">
        <v>158</v>
      </c>
      <c r="E10" s="62">
        <v>89</v>
      </c>
    </row>
    <row r="11" spans="1:5" x14ac:dyDescent="0.3">
      <c r="A11" s="55" t="s">
        <v>165</v>
      </c>
      <c r="B11">
        <v>96</v>
      </c>
      <c r="D11" s="1" t="s">
        <v>131</v>
      </c>
      <c r="E11" s="1">
        <v>86</v>
      </c>
    </row>
    <row r="12" spans="1:5" x14ac:dyDescent="0.3">
      <c r="A12" s="54" t="s">
        <v>159</v>
      </c>
      <c r="B12">
        <v>95</v>
      </c>
      <c r="D12" s="62" t="s">
        <v>160</v>
      </c>
      <c r="E12" s="62">
        <v>83</v>
      </c>
    </row>
    <row r="13" spans="1:5" x14ac:dyDescent="0.3">
      <c r="A13" s="55" t="s">
        <v>164</v>
      </c>
      <c r="B13">
        <v>95</v>
      </c>
      <c r="D13" s="1" t="s">
        <v>161</v>
      </c>
      <c r="E13" s="1">
        <v>83</v>
      </c>
    </row>
    <row r="14" spans="1:5" x14ac:dyDescent="0.3">
      <c r="A14" s="54" t="s">
        <v>12</v>
      </c>
      <c r="B14">
        <v>97</v>
      </c>
    </row>
    <row r="15" spans="1:5" x14ac:dyDescent="0.3">
      <c r="A15" s="55" t="s">
        <v>163</v>
      </c>
      <c r="B15">
        <v>97</v>
      </c>
    </row>
    <row r="16" spans="1:5" x14ac:dyDescent="0.3">
      <c r="A16" s="54" t="s">
        <v>158</v>
      </c>
      <c r="B16">
        <v>89</v>
      </c>
    </row>
    <row r="17" spans="1:2" x14ac:dyDescent="0.3">
      <c r="A17" s="55" t="s">
        <v>163</v>
      </c>
      <c r="B17">
        <v>89</v>
      </c>
    </row>
    <row r="18" spans="1:2" x14ac:dyDescent="0.3">
      <c r="A18" s="54" t="s">
        <v>161</v>
      </c>
      <c r="B18">
        <v>83</v>
      </c>
    </row>
    <row r="19" spans="1:2" x14ac:dyDescent="0.3">
      <c r="A19" s="55" t="s">
        <v>164</v>
      </c>
      <c r="B19">
        <v>83</v>
      </c>
    </row>
    <row r="20" spans="1:2" x14ac:dyDescent="0.3">
      <c r="A20" s="54" t="s">
        <v>10</v>
      </c>
      <c r="B20">
        <v>90</v>
      </c>
    </row>
    <row r="21" spans="1:2" x14ac:dyDescent="0.3">
      <c r="A21" s="55" t="s">
        <v>165</v>
      </c>
      <c r="B21">
        <v>90</v>
      </c>
    </row>
    <row r="22" spans="1:2" x14ac:dyDescent="0.3">
      <c r="A22" s="54" t="s">
        <v>160</v>
      </c>
      <c r="B22">
        <v>83</v>
      </c>
    </row>
    <row r="23" spans="1:2" x14ac:dyDescent="0.3">
      <c r="A23" s="55" t="s">
        <v>166</v>
      </c>
      <c r="B23">
        <v>83</v>
      </c>
    </row>
    <row r="24" spans="1:2" x14ac:dyDescent="0.3">
      <c r="A24" s="54" t="s">
        <v>122</v>
      </c>
      <c r="B24">
        <v>906</v>
      </c>
    </row>
  </sheetData>
  <conditionalFormatting sqref="D3:D13">
    <cfRule type="colorScale" priority="2">
      <colorScale>
        <cfvo type="min"/>
        <cfvo type="percentile" val="50"/>
        <cfvo type="max"/>
        <color rgb="FFF8696B"/>
        <color rgb="FFFFEB84"/>
        <color rgb="FF63BE7B"/>
      </colorScale>
    </cfRule>
  </conditionalFormatting>
  <conditionalFormatting sqref="E3:E13">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8117-350A-4188-808C-379E0B963872}">
  <dimension ref="A1:I13"/>
  <sheetViews>
    <sheetView workbookViewId="0">
      <selection activeCell="G3" sqref="G3:G13"/>
    </sheetView>
  </sheetViews>
  <sheetFormatPr defaultRowHeight="14.4" x14ac:dyDescent="0.3"/>
  <cols>
    <col min="1" max="1" width="9.88671875" customWidth="1"/>
    <col min="2" max="2" width="14" customWidth="1"/>
    <col min="3" max="3" width="14.21875" customWidth="1"/>
    <col min="4" max="4" width="10.77734375" customWidth="1"/>
    <col min="5" max="5" width="14" customWidth="1"/>
    <col min="6" max="6" width="13.88671875" customWidth="1"/>
    <col min="7" max="7" width="14.88671875" customWidth="1"/>
    <col min="8" max="8" width="10.21875" customWidth="1"/>
    <col min="9" max="9" width="18" customWidth="1"/>
  </cols>
  <sheetData>
    <row r="1" spans="1:9" x14ac:dyDescent="0.3">
      <c r="A1" s="58"/>
      <c r="B1" s="58"/>
      <c r="C1" s="58"/>
      <c r="D1" s="58"/>
      <c r="E1" s="58"/>
      <c r="F1" s="58"/>
      <c r="G1" s="58"/>
      <c r="H1" s="58"/>
      <c r="I1" s="58"/>
    </row>
    <row r="2" spans="1:9" ht="21" x14ac:dyDescent="0.3">
      <c r="A2" s="58"/>
      <c r="B2" s="58" t="s">
        <v>177</v>
      </c>
      <c r="C2" s="59"/>
      <c r="D2" s="60" t="s">
        <v>156</v>
      </c>
      <c r="E2" s="58"/>
      <c r="F2" s="58"/>
      <c r="G2" s="58"/>
      <c r="H2" s="58"/>
      <c r="I2" s="58"/>
    </row>
    <row r="3" spans="1:9" x14ac:dyDescent="0.3">
      <c r="A3" s="47" t="s">
        <v>157</v>
      </c>
      <c r="B3" s="48" t="s">
        <v>1</v>
      </c>
      <c r="C3" s="48" t="s">
        <v>2</v>
      </c>
      <c r="D3" s="48" t="s">
        <v>58</v>
      </c>
      <c r="E3" s="48" t="s">
        <v>54</v>
      </c>
      <c r="F3" s="48" t="s">
        <v>55</v>
      </c>
      <c r="G3" s="48" t="s">
        <v>129</v>
      </c>
      <c r="H3" s="48" t="s">
        <v>102</v>
      </c>
      <c r="I3" s="49" t="s">
        <v>57</v>
      </c>
    </row>
    <row r="4" spans="1:9" x14ac:dyDescent="0.3">
      <c r="A4" s="46">
        <v>1</v>
      </c>
      <c r="B4" s="1" t="s">
        <v>12</v>
      </c>
      <c r="C4" s="1" t="s">
        <v>13</v>
      </c>
      <c r="D4" s="1" t="s">
        <v>163</v>
      </c>
      <c r="E4" s="1">
        <v>90</v>
      </c>
      <c r="F4" s="1">
        <v>98</v>
      </c>
      <c r="G4" s="1">
        <v>97</v>
      </c>
      <c r="H4" s="1" t="s">
        <v>167</v>
      </c>
      <c r="I4" s="52" t="s">
        <v>168</v>
      </c>
    </row>
    <row r="5" spans="1:9" x14ac:dyDescent="0.3">
      <c r="A5" s="46">
        <v>7</v>
      </c>
      <c r="B5" s="1" t="s">
        <v>60</v>
      </c>
      <c r="C5" s="1" t="s">
        <v>11</v>
      </c>
      <c r="D5" s="1" t="s">
        <v>165</v>
      </c>
      <c r="E5" s="1">
        <v>96</v>
      </c>
      <c r="F5" s="1">
        <v>97</v>
      </c>
      <c r="G5" s="1">
        <v>96</v>
      </c>
      <c r="H5" s="1" t="s">
        <v>167</v>
      </c>
      <c r="I5" s="52" t="s">
        <v>173</v>
      </c>
    </row>
    <row r="6" spans="1:9" x14ac:dyDescent="0.3">
      <c r="A6" s="46">
        <v>6</v>
      </c>
      <c r="B6" s="1" t="s">
        <v>159</v>
      </c>
      <c r="C6" s="1" t="s">
        <v>13</v>
      </c>
      <c r="D6" s="1" t="s">
        <v>164</v>
      </c>
      <c r="E6" s="1">
        <v>92</v>
      </c>
      <c r="F6" s="1">
        <v>94</v>
      </c>
      <c r="G6" s="1">
        <v>95</v>
      </c>
      <c r="H6" s="1" t="s">
        <v>167</v>
      </c>
      <c r="I6" s="52" t="s">
        <v>169</v>
      </c>
    </row>
    <row r="7" spans="1:9" x14ac:dyDescent="0.3">
      <c r="A7" s="46">
        <v>9</v>
      </c>
      <c r="B7" s="1" t="s">
        <v>59</v>
      </c>
      <c r="C7" s="1" t="s">
        <v>133</v>
      </c>
      <c r="D7" s="1" t="s">
        <v>163</v>
      </c>
      <c r="E7" s="1">
        <v>90</v>
      </c>
      <c r="F7" s="1">
        <v>93</v>
      </c>
      <c r="G7" s="1">
        <v>94</v>
      </c>
      <c r="H7" s="1" t="s">
        <v>167</v>
      </c>
      <c r="I7" s="52" t="s">
        <v>175</v>
      </c>
    </row>
    <row r="8" spans="1:9" x14ac:dyDescent="0.3">
      <c r="A8" s="46">
        <v>2</v>
      </c>
      <c r="B8" s="1" t="s">
        <v>144</v>
      </c>
      <c r="C8" s="1" t="s">
        <v>135</v>
      </c>
      <c r="D8" s="1" t="s">
        <v>164</v>
      </c>
      <c r="E8" s="1">
        <v>89</v>
      </c>
      <c r="F8" s="1">
        <v>91</v>
      </c>
      <c r="G8" s="1">
        <v>93</v>
      </c>
      <c r="H8" s="1" t="s">
        <v>167</v>
      </c>
      <c r="I8" s="52" t="s">
        <v>170</v>
      </c>
    </row>
    <row r="9" spans="1:9" x14ac:dyDescent="0.3">
      <c r="A9" s="46">
        <v>3</v>
      </c>
      <c r="B9" s="1" t="s">
        <v>10</v>
      </c>
      <c r="C9" s="1" t="s">
        <v>142</v>
      </c>
      <c r="D9" s="1" t="s">
        <v>165</v>
      </c>
      <c r="E9" s="1">
        <v>98</v>
      </c>
      <c r="F9" s="1">
        <v>85</v>
      </c>
      <c r="G9" s="1">
        <v>90</v>
      </c>
      <c r="H9" s="1" t="s">
        <v>167</v>
      </c>
      <c r="I9" s="52" t="s">
        <v>146</v>
      </c>
    </row>
    <row r="10" spans="1:9" x14ac:dyDescent="0.3">
      <c r="A10" s="46">
        <v>5</v>
      </c>
      <c r="B10" s="1" t="s">
        <v>158</v>
      </c>
      <c r="C10" s="1" t="s">
        <v>133</v>
      </c>
      <c r="D10" s="1" t="s">
        <v>163</v>
      </c>
      <c r="E10" s="1">
        <v>89</v>
      </c>
      <c r="F10" s="1">
        <v>88</v>
      </c>
      <c r="G10" s="1">
        <v>89</v>
      </c>
      <c r="H10" s="1" t="s">
        <v>79</v>
      </c>
      <c r="I10" s="52" t="s">
        <v>172</v>
      </c>
    </row>
    <row r="11" spans="1:9" x14ac:dyDescent="0.3">
      <c r="A11" s="46">
        <v>4</v>
      </c>
      <c r="B11" s="1" t="s">
        <v>131</v>
      </c>
      <c r="C11" s="1" t="s">
        <v>13</v>
      </c>
      <c r="D11" s="1" t="s">
        <v>166</v>
      </c>
      <c r="E11" s="1">
        <v>81</v>
      </c>
      <c r="F11" s="1">
        <v>87</v>
      </c>
      <c r="G11" s="1">
        <v>86</v>
      </c>
      <c r="H11" s="1" t="s">
        <v>79</v>
      </c>
      <c r="I11" s="52" t="s">
        <v>171</v>
      </c>
    </row>
    <row r="12" spans="1:9" x14ac:dyDescent="0.3">
      <c r="A12" s="46">
        <v>8</v>
      </c>
      <c r="B12" s="1" t="s">
        <v>160</v>
      </c>
      <c r="C12" s="1" t="s">
        <v>142</v>
      </c>
      <c r="D12" s="1" t="s">
        <v>166</v>
      </c>
      <c r="E12" s="1">
        <v>87</v>
      </c>
      <c r="F12" s="1">
        <v>89</v>
      </c>
      <c r="G12" s="1">
        <v>83</v>
      </c>
      <c r="H12" s="1" t="s">
        <v>79</v>
      </c>
      <c r="I12" s="52" t="s">
        <v>174</v>
      </c>
    </row>
    <row r="13" spans="1:9" x14ac:dyDescent="0.3">
      <c r="A13" s="50">
        <v>10</v>
      </c>
      <c r="B13" s="51" t="s">
        <v>161</v>
      </c>
      <c r="C13" s="51" t="s">
        <v>162</v>
      </c>
      <c r="D13" s="51" t="s">
        <v>164</v>
      </c>
      <c r="E13" s="51">
        <v>80</v>
      </c>
      <c r="F13" s="51">
        <v>82</v>
      </c>
      <c r="G13" s="51">
        <v>83</v>
      </c>
      <c r="H13" s="51" t="s">
        <v>79</v>
      </c>
      <c r="I13" s="53" t="s">
        <v>176</v>
      </c>
    </row>
  </sheetData>
  <conditionalFormatting sqref="A3:I13">
    <cfRule type="colorScale" priority="1">
      <colorScale>
        <cfvo type="min"/>
        <cfvo type="percentile" val="50"/>
        <cfvo type="max"/>
        <color rgb="FFF8696B"/>
        <color rgb="FFFFEB84"/>
        <color rgb="FF63BE7B"/>
      </colorScale>
    </cfRule>
  </conditionalFormatting>
  <hyperlinks>
    <hyperlink ref="I4" r:id="rId1" xr:uid="{8F4DBFDA-D6F8-4E48-8D7F-77627BB18C98}"/>
    <hyperlink ref="I8" r:id="rId2" xr:uid="{0C1D69A5-5A96-4107-99BC-07D4EBEA79ED}"/>
    <hyperlink ref="I9" r:id="rId3" xr:uid="{1A8AB2B7-6002-4333-98E3-9BF2BE7530A5}"/>
    <hyperlink ref="I11" r:id="rId4" xr:uid="{856EF61E-A7AE-4416-BC31-8AC3EA53F956}"/>
    <hyperlink ref="I10" r:id="rId5" xr:uid="{FD865F80-B332-46F4-97DA-949A52FC96CE}"/>
    <hyperlink ref="I6" r:id="rId6" xr:uid="{11F579A7-D96D-4A28-A804-6D984EE6828F}"/>
    <hyperlink ref="I5" r:id="rId7" xr:uid="{B40A2E58-4BE9-4BA1-B77D-63A114FF37F9}"/>
    <hyperlink ref="I12" r:id="rId8" xr:uid="{71299C76-1DD9-47F0-B24A-3F26928AAD16}"/>
    <hyperlink ref="I7" r:id="rId9" xr:uid="{D72E0AB0-CDBC-4D2C-B456-31E47CF0C2D0}"/>
    <hyperlink ref="I13" r:id="rId10" xr:uid="{B5BE0DF2-565F-464D-8525-A048C05122BF}"/>
  </hyperlinks>
  <pageMargins left="0.7" right="0.7" top="0.75" bottom="0.75" header="0.3" footer="0.3"/>
  <drawing r:id="rId11"/>
  <legacyDrawing r:id="rId12"/>
  <tableParts count="1">
    <tablePart r:id="rId13"/>
  </tableParts>
  <extLst>
    <ext xmlns:x15="http://schemas.microsoft.com/office/spreadsheetml/2010/11/main" uri="{3A4CF648-6AED-40f4-86FF-DC5316D8AED3}">
      <x14:slicerList xmlns:x14="http://schemas.microsoft.com/office/spreadsheetml/2009/9/main">
        <x14:slicer r:id="rId1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175C44-A1A2-43A6-81CC-DE207833A152}">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9C12467F-5465-4FD9-A221-E5861E572097}">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0007E54F-05EB-4D56-9E3F-8566E3024B95}">
  <ds:schemaRefs>
    <ds:schemaRef ds:uri="http://www.w3.org/2001/XMLSchema"/>
    <ds:schemaRef ds:uri="http://microsoft.data.visualization.Client.Excel.LState/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Project 1</vt:lpstr>
      <vt:lpstr>Project 2</vt:lpstr>
      <vt:lpstr>Sheet2</vt:lpstr>
      <vt:lpstr>Project 3</vt:lpstr>
      <vt:lpstr>For Sheet 3</vt:lpstr>
      <vt:lpstr>Sheet3</vt:lpstr>
      <vt:lpstr>Sheet9</vt:lpstr>
      <vt:lpstr>Sheet5</vt:lpstr>
      <vt:lpstr>Sheet6</vt:lpstr>
      <vt:lpstr>Detail1</vt:lpstr>
      <vt:lpstr>Sheet7</vt:lpstr>
      <vt:lpstr>Detail2</vt:lpstr>
      <vt:lpstr>Sheet4</vt:lpstr>
      <vt:lpstr>Sheet1</vt:lpstr>
      <vt:lpstr>Sheet11</vt:lpstr>
      <vt:lpstr>Sheet10</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riddler</dc:creator>
  <cp:lastModifiedBy>the riddler</cp:lastModifiedBy>
  <dcterms:created xsi:type="dcterms:W3CDTF">2025-11-18T09:28:10Z</dcterms:created>
  <dcterms:modified xsi:type="dcterms:W3CDTF">2025-11-25T10:56:57Z</dcterms:modified>
</cp:coreProperties>
</file>